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725433f20c841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f678d0242bcc4c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updateLinks="never" codeName="DieseArbeitsmappe"/>
  <mc:AlternateContent xmlns:mc="http://schemas.openxmlformats.org/markup-compatibility/2006">
    <mc:Choice Requires="x15">
      <x15ac:absPath xmlns:x15ac="http://schemas.microsoft.com/office/spreadsheetml/2010/11/ac" url="C:\Users\chris\Desktop\"/>
    </mc:Choice>
  </mc:AlternateContent>
  <xr:revisionPtr revIDLastSave="0" documentId="13_ncr:1_{B22699A9-B3D8-4E0C-95A9-EAD4113E3D08}" xr6:coauthVersionLast="33" xr6:coauthVersionMax="33" xr10:uidLastSave="{00000000-0000-0000-0000-000000000000}"/>
  <bookViews>
    <workbookView xWindow="0" yWindow="0" windowWidth="28800" windowHeight="12225" activeTab="1" xr2:uid="{00000000-000D-0000-FFFF-FFFF00000000}"/>
  </bookViews>
  <sheets>
    <sheet name="Info" sheetId="1" r:id="rId1"/>
    <sheet name="Dienst" sheetId="2" r:id="rId2"/>
    <sheet name="Dienstplan" sheetId="14" state="hidden" r:id="rId3"/>
    <sheet name="Phasenmodell" sheetId="8" state="hidden" r:id="rId4"/>
    <sheet name="Vorausstärke" sheetId="11" state="hidden" r:id="rId5"/>
    <sheet name="Gruppengliederung" sheetId="15" r:id="rId6"/>
  </sheets>
  <functionGroups builtInGroupCount="19"/>
  <definedNames>
    <definedName name="_Dienstanzug">Gruppengliederung!$B$57:$B$62</definedName>
    <definedName name="_Dienstbeginn">Gruppengliederung!$C$59:$C$107</definedName>
    <definedName name="_Funktion">Gruppengliederung!$D$57:$D$64</definedName>
    <definedName name="_Phasen">Phasenmodell!$L$3:$L$21</definedName>
    <definedName name="_rückenkennung">Gruppengliederung!$U$4:$U$44</definedName>
    <definedName name="_verfügbar">Gruppengliederung!$M$4:$M$30</definedName>
    <definedName name="_xlnm.Print_Area" localSheetId="1">Dienst!$A$1:$CU$108</definedName>
    <definedName name="_xlnm.Print_Area" localSheetId="3">Phasenmodell!$A$1:$U$36</definedName>
    <definedName name="nm_Dienstplan">Phasenmodell!$C$3:$J$33</definedName>
    <definedName name="nm_Dienststellenplan">Phasenmodell!$S$3:$V$33</definedName>
  </definedNames>
  <calcPr calcId="179017"/>
</workbook>
</file>

<file path=xl/calcChain.xml><?xml version="1.0" encoding="utf-8"?>
<calcChain xmlns="http://schemas.openxmlformats.org/spreadsheetml/2006/main">
  <c r="Q20" i="15" l="1"/>
  <c r="Q16" i="15"/>
  <c r="Q12" i="15"/>
  <c r="Q8" i="15"/>
  <c r="H46" i="15"/>
  <c r="Y43" i="15" s="1"/>
  <c r="H36" i="15"/>
  <c r="H26" i="15"/>
  <c r="Y47" i="15" s="1"/>
  <c r="F46" i="15"/>
  <c r="F36" i="15"/>
  <c r="X44" i="15" s="1"/>
  <c r="F26" i="15"/>
  <c r="X47" i="15" s="1"/>
  <c r="D46" i="15"/>
  <c r="D36" i="15"/>
  <c r="D26" i="15"/>
  <c r="W45" i="15" s="1"/>
  <c r="B46" i="15"/>
  <c r="H3" i="15" s="1"/>
  <c r="B36" i="15"/>
  <c r="B26" i="15"/>
  <c r="N19" i="15" s="1"/>
  <c r="I24" i="15"/>
  <c r="I23" i="15"/>
  <c r="I22" i="15"/>
  <c r="I21" i="15"/>
  <c r="I20" i="15"/>
  <c r="I19" i="15"/>
  <c r="I18" i="15"/>
  <c r="I17" i="15"/>
  <c r="I16" i="15"/>
  <c r="I15" i="15"/>
  <c r="G24" i="15"/>
  <c r="G23" i="15"/>
  <c r="G22" i="15"/>
  <c r="G21" i="15"/>
  <c r="G20" i="15"/>
  <c r="G19" i="15"/>
  <c r="G18" i="15"/>
  <c r="G17" i="15"/>
  <c r="G16" i="15"/>
  <c r="G15" i="15"/>
  <c r="E24" i="15"/>
  <c r="E23" i="15"/>
  <c r="E22" i="15"/>
  <c r="E21" i="15"/>
  <c r="E20" i="15"/>
  <c r="E19" i="15"/>
  <c r="E18" i="15"/>
  <c r="E17" i="15"/>
  <c r="E16" i="15"/>
  <c r="E15" i="15"/>
  <c r="C24" i="15"/>
  <c r="C23" i="15"/>
  <c r="C22" i="15"/>
  <c r="C21" i="15"/>
  <c r="C20" i="15"/>
  <c r="C19" i="15"/>
  <c r="C18" i="15"/>
  <c r="C17" i="15"/>
  <c r="C16" i="15"/>
  <c r="C15" i="15"/>
  <c r="I14" i="15"/>
  <c r="I13" i="15"/>
  <c r="G14" i="15"/>
  <c r="G13" i="15"/>
  <c r="E14" i="15"/>
  <c r="E13" i="15"/>
  <c r="C14" i="15"/>
  <c r="C13" i="15"/>
  <c r="V46" i="15" s="1"/>
  <c r="G25" i="15"/>
  <c r="E25" i="15"/>
  <c r="C25" i="15"/>
  <c r="CU45" i="2"/>
  <c r="CT45" i="2"/>
  <c r="CS45" i="2"/>
  <c r="CU44" i="2"/>
  <c r="CT44" i="2"/>
  <c r="CS44" i="2"/>
  <c r="CU43" i="2"/>
  <c r="CT43" i="2"/>
  <c r="CS43" i="2"/>
  <c r="CU42" i="2"/>
  <c r="CT42" i="2"/>
  <c r="CS42" i="2"/>
  <c r="CU41" i="2"/>
  <c r="CT41" i="2"/>
  <c r="CS41" i="2"/>
  <c r="CU39" i="2"/>
  <c r="CT39" i="2"/>
  <c r="CS39" i="2"/>
  <c r="CU38" i="2"/>
  <c r="CT38" i="2"/>
  <c r="CS38" i="2"/>
  <c r="CU37" i="2"/>
  <c r="CT37" i="2"/>
  <c r="CS37" i="2"/>
  <c r="CU36" i="2"/>
  <c r="CT36" i="2"/>
  <c r="CS36" i="2"/>
  <c r="CU35" i="2"/>
  <c r="CT35" i="2"/>
  <c r="CS35" i="2"/>
  <c r="CU34" i="2"/>
  <c r="CT34" i="2"/>
  <c r="CS34" i="2"/>
  <c r="CU33" i="2"/>
  <c r="CT33" i="2"/>
  <c r="CS33" i="2"/>
  <c r="CU32" i="2"/>
  <c r="CT32" i="2"/>
  <c r="CS32" i="2"/>
  <c r="CU31" i="2"/>
  <c r="CT31" i="2"/>
  <c r="CS31" i="2"/>
  <c r="CU30" i="2"/>
  <c r="CT30" i="2"/>
  <c r="CS30" i="2"/>
  <c r="CU29" i="2"/>
  <c r="CT29" i="2"/>
  <c r="CS29" i="2"/>
  <c r="CU28" i="2"/>
  <c r="CT28" i="2"/>
  <c r="CS28" i="2"/>
  <c r="CU27" i="2"/>
  <c r="CT27" i="2"/>
  <c r="CS27" i="2"/>
  <c r="CU26" i="2"/>
  <c r="CT26" i="2"/>
  <c r="CS26" i="2"/>
  <c r="CU25" i="2"/>
  <c r="CT25" i="2"/>
  <c r="CS25" i="2"/>
  <c r="CU24" i="2"/>
  <c r="CT24" i="2"/>
  <c r="CS24" i="2"/>
  <c r="CU23" i="2"/>
  <c r="CT23" i="2"/>
  <c r="CS23" i="2"/>
  <c r="CU22" i="2"/>
  <c r="CT22" i="2"/>
  <c r="CS22" i="2"/>
  <c r="CU21" i="2"/>
  <c r="CT21" i="2"/>
  <c r="CS21" i="2"/>
  <c r="CU20" i="2"/>
  <c r="CT20" i="2"/>
  <c r="CS20" i="2"/>
  <c r="CU19" i="2"/>
  <c r="CT19" i="2"/>
  <c r="CS19" i="2"/>
  <c r="CU18" i="2"/>
  <c r="CT18" i="2"/>
  <c r="CS18" i="2"/>
  <c r="CU16" i="2"/>
  <c r="CT16" i="2"/>
  <c r="CS16" i="2"/>
  <c r="CU15" i="2"/>
  <c r="CT15" i="2"/>
  <c r="CS15" i="2"/>
  <c r="CU14" i="2"/>
  <c r="CT14" i="2"/>
  <c r="CS14" i="2"/>
  <c r="CU13" i="2"/>
  <c r="CT13" i="2"/>
  <c r="CS13" i="2"/>
  <c r="CU12" i="2"/>
  <c r="CT12" i="2"/>
  <c r="CS12" i="2"/>
  <c r="CU11" i="2"/>
  <c r="CT11" i="2"/>
  <c r="CS11" i="2"/>
  <c r="CU9" i="2"/>
  <c r="CT9" i="2"/>
  <c r="CS9" i="2"/>
  <c r="CU8" i="2"/>
  <c r="CT8" i="2"/>
  <c r="CS8" i="2"/>
  <c r="CQ54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O53" i="2"/>
  <c r="CP53" i="2"/>
  <c r="CQ53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O52" i="2"/>
  <c r="CP52" i="2"/>
  <c r="CQ52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O51" i="2"/>
  <c r="CP51" i="2"/>
  <c r="CQ51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O50" i="2"/>
  <c r="CP50" i="2"/>
  <c r="CQ50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O49" i="2"/>
  <c r="CP49" i="2"/>
  <c r="CQ49" i="2"/>
  <c r="D48" i="2"/>
  <c r="D54" i="2" s="1"/>
  <c r="E48" i="2"/>
  <c r="E54" i="2" s="1"/>
  <c r="F48" i="2"/>
  <c r="F54" i="2" s="1"/>
  <c r="G48" i="2"/>
  <c r="G54" i="2" s="1"/>
  <c r="H48" i="2"/>
  <c r="H54" i="2" s="1"/>
  <c r="I48" i="2"/>
  <c r="I54" i="2" s="1"/>
  <c r="J48" i="2"/>
  <c r="J54" i="2" s="1"/>
  <c r="K48" i="2"/>
  <c r="K54" i="2" s="1"/>
  <c r="L48" i="2"/>
  <c r="L54" i="2" s="1"/>
  <c r="M48" i="2"/>
  <c r="M54" i="2" s="1"/>
  <c r="N48" i="2"/>
  <c r="N54" i="2" s="1"/>
  <c r="O48" i="2"/>
  <c r="O54" i="2" s="1"/>
  <c r="P48" i="2"/>
  <c r="P54" i="2" s="1"/>
  <c r="Q48" i="2"/>
  <c r="Q54" i="2" s="1"/>
  <c r="R48" i="2"/>
  <c r="R54" i="2" s="1"/>
  <c r="S48" i="2"/>
  <c r="S54" i="2" s="1"/>
  <c r="T48" i="2"/>
  <c r="T54" i="2" s="1"/>
  <c r="U48" i="2"/>
  <c r="U54" i="2" s="1"/>
  <c r="V48" i="2"/>
  <c r="V54" i="2" s="1"/>
  <c r="W48" i="2"/>
  <c r="W54" i="2" s="1"/>
  <c r="X48" i="2"/>
  <c r="X54" i="2" s="1"/>
  <c r="Y48" i="2"/>
  <c r="Y54" i="2" s="1"/>
  <c r="Z48" i="2"/>
  <c r="Z54" i="2" s="1"/>
  <c r="AA48" i="2"/>
  <c r="AA54" i="2" s="1"/>
  <c r="AB48" i="2"/>
  <c r="AB54" i="2" s="1"/>
  <c r="AC48" i="2"/>
  <c r="AC54" i="2" s="1"/>
  <c r="AD48" i="2"/>
  <c r="AD54" i="2" s="1"/>
  <c r="AE48" i="2"/>
  <c r="AE54" i="2" s="1"/>
  <c r="AF48" i="2"/>
  <c r="AF54" i="2" s="1"/>
  <c r="AG48" i="2"/>
  <c r="AG54" i="2" s="1"/>
  <c r="AH48" i="2"/>
  <c r="AH54" i="2" s="1"/>
  <c r="AI48" i="2"/>
  <c r="AI54" i="2" s="1"/>
  <c r="AJ48" i="2"/>
  <c r="AJ54" i="2" s="1"/>
  <c r="AK48" i="2"/>
  <c r="AK54" i="2" s="1"/>
  <c r="AL48" i="2"/>
  <c r="AL54" i="2" s="1"/>
  <c r="AM48" i="2"/>
  <c r="AM54" i="2" s="1"/>
  <c r="AN48" i="2"/>
  <c r="AN54" i="2" s="1"/>
  <c r="AO48" i="2"/>
  <c r="AO54" i="2" s="1"/>
  <c r="AP48" i="2"/>
  <c r="AP54" i="2" s="1"/>
  <c r="AQ48" i="2"/>
  <c r="AQ54" i="2" s="1"/>
  <c r="AR48" i="2"/>
  <c r="AR54" i="2" s="1"/>
  <c r="AS48" i="2"/>
  <c r="AS54" i="2" s="1"/>
  <c r="AT48" i="2"/>
  <c r="AT54" i="2" s="1"/>
  <c r="AU48" i="2"/>
  <c r="AU54" i="2" s="1"/>
  <c r="AV48" i="2"/>
  <c r="AV54" i="2" s="1"/>
  <c r="AW48" i="2"/>
  <c r="AW54" i="2" s="1"/>
  <c r="AX48" i="2"/>
  <c r="AX54" i="2" s="1"/>
  <c r="AY48" i="2"/>
  <c r="AY54" i="2" s="1"/>
  <c r="AZ48" i="2"/>
  <c r="AZ54" i="2" s="1"/>
  <c r="BA48" i="2"/>
  <c r="BA54" i="2" s="1"/>
  <c r="BB48" i="2"/>
  <c r="BB54" i="2" s="1"/>
  <c r="BC48" i="2"/>
  <c r="BC54" i="2" s="1"/>
  <c r="BD48" i="2"/>
  <c r="BD54" i="2" s="1"/>
  <c r="BE48" i="2"/>
  <c r="BE54" i="2" s="1"/>
  <c r="BF48" i="2"/>
  <c r="BF54" i="2" s="1"/>
  <c r="BG48" i="2"/>
  <c r="BG54" i="2" s="1"/>
  <c r="BH48" i="2"/>
  <c r="BH54" i="2" s="1"/>
  <c r="BI48" i="2"/>
  <c r="BI54" i="2" s="1"/>
  <c r="BJ48" i="2"/>
  <c r="BJ54" i="2" s="1"/>
  <c r="BK48" i="2"/>
  <c r="BK54" i="2" s="1"/>
  <c r="BL48" i="2"/>
  <c r="BL54" i="2" s="1"/>
  <c r="BM48" i="2"/>
  <c r="BM54" i="2" s="1"/>
  <c r="BN48" i="2"/>
  <c r="BN54" i="2" s="1"/>
  <c r="BO48" i="2"/>
  <c r="BO54" i="2" s="1"/>
  <c r="BP48" i="2"/>
  <c r="BP54" i="2" s="1"/>
  <c r="BQ48" i="2"/>
  <c r="BQ54" i="2" s="1"/>
  <c r="BR48" i="2"/>
  <c r="BR54" i="2" s="1"/>
  <c r="BS48" i="2"/>
  <c r="BS54" i="2" s="1"/>
  <c r="BT48" i="2"/>
  <c r="BT54" i="2" s="1"/>
  <c r="BU48" i="2"/>
  <c r="BU54" i="2" s="1"/>
  <c r="BV48" i="2"/>
  <c r="BV54" i="2" s="1"/>
  <c r="BW48" i="2"/>
  <c r="BW54" i="2" s="1"/>
  <c r="BX48" i="2"/>
  <c r="BX54" i="2" s="1"/>
  <c r="BY48" i="2"/>
  <c r="BY54" i="2" s="1"/>
  <c r="BZ48" i="2"/>
  <c r="BZ54" i="2" s="1"/>
  <c r="CA48" i="2"/>
  <c r="CA54" i="2" s="1"/>
  <c r="CB48" i="2"/>
  <c r="CB54" i="2" s="1"/>
  <c r="CC48" i="2"/>
  <c r="CC54" i="2" s="1"/>
  <c r="CD48" i="2"/>
  <c r="CD54" i="2" s="1"/>
  <c r="CE48" i="2"/>
  <c r="CE54" i="2" s="1"/>
  <c r="CF48" i="2"/>
  <c r="CF54" i="2" s="1"/>
  <c r="CG48" i="2"/>
  <c r="CG54" i="2" s="1"/>
  <c r="CH48" i="2"/>
  <c r="CH54" i="2" s="1"/>
  <c r="CI48" i="2"/>
  <c r="CI54" i="2" s="1"/>
  <c r="CJ48" i="2"/>
  <c r="CJ54" i="2" s="1"/>
  <c r="CK48" i="2"/>
  <c r="CK54" i="2" s="1"/>
  <c r="CL48" i="2"/>
  <c r="CL54" i="2" s="1"/>
  <c r="CM48" i="2"/>
  <c r="CM54" i="2" s="1"/>
  <c r="CN48" i="2"/>
  <c r="CN54" i="2" s="1"/>
  <c r="CO48" i="2"/>
  <c r="CO54" i="2" s="1"/>
  <c r="CP48" i="2"/>
  <c r="CP54" i="2" s="1"/>
  <c r="CQ48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O47" i="2"/>
  <c r="CP47" i="2"/>
  <c r="CQ47" i="2"/>
  <c r="I62" i="14"/>
  <c r="E62" i="14"/>
  <c r="D61" i="14"/>
  <c r="L59" i="14"/>
  <c r="C59" i="14"/>
  <c r="O5" i="15" l="1"/>
  <c r="O6" i="15"/>
  <c r="O7" i="15"/>
  <c r="N8" i="15"/>
  <c r="Q9" i="15"/>
  <c r="P10" i="15"/>
  <c r="O11" i="15"/>
  <c r="N12" i="15"/>
  <c r="Q13" i="15"/>
  <c r="P14" i="15"/>
  <c r="O15" i="15"/>
  <c r="N16" i="15"/>
  <c r="Q17" i="15"/>
  <c r="P18" i="15"/>
  <c r="O19" i="15"/>
  <c r="N20" i="15"/>
  <c r="Q21" i="15"/>
  <c r="X5" i="15"/>
  <c r="W6" i="15"/>
  <c r="V7" i="15"/>
  <c r="Y8" i="15"/>
  <c r="X9" i="15"/>
  <c r="W10" i="15"/>
  <c r="V11" i="15"/>
  <c r="Y12" i="15"/>
  <c r="X13" i="15"/>
  <c r="W14" i="15"/>
  <c r="V15" i="15"/>
  <c r="Y16" i="15"/>
  <c r="X17" i="15"/>
  <c r="W18" i="15"/>
  <c r="V19" i="15"/>
  <c r="Y20" i="15"/>
  <c r="X21" i="15"/>
  <c r="W22" i="15"/>
  <c r="V23" i="15"/>
  <c r="Y24" i="15"/>
  <c r="X25" i="15"/>
  <c r="W26" i="15"/>
  <c r="V27" i="15"/>
  <c r="Y28" i="15"/>
  <c r="X29" i="15"/>
  <c r="W30" i="15"/>
  <c r="V31" i="15"/>
  <c r="Y32" i="15"/>
  <c r="X33" i="15"/>
  <c r="W34" i="15"/>
  <c r="V35" i="15"/>
  <c r="Y36" i="15"/>
  <c r="X37" i="15"/>
  <c r="W38" i="15"/>
  <c r="V39" i="15"/>
  <c r="Y40" i="15"/>
  <c r="X41" i="15"/>
  <c r="W42" i="15"/>
  <c r="V43" i="15"/>
  <c r="Y44" i="15"/>
  <c r="X45" i="15"/>
  <c r="W46" i="15"/>
  <c r="V47" i="15"/>
  <c r="P5" i="15"/>
  <c r="P6" i="15"/>
  <c r="P7" i="15"/>
  <c r="O8" i="15"/>
  <c r="N9" i="15"/>
  <c r="Q10" i="15"/>
  <c r="P11" i="15"/>
  <c r="O12" i="15"/>
  <c r="N13" i="15"/>
  <c r="Q14" i="15"/>
  <c r="P15" i="15"/>
  <c r="O16" i="15"/>
  <c r="N17" i="15"/>
  <c r="Q18" i="15"/>
  <c r="P19" i="15"/>
  <c r="O20" i="15"/>
  <c r="N21" i="15"/>
  <c r="Y5" i="15"/>
  <c r="X6" i="15"/>
  <c r="W7" i="15"/>
  <c r="V8" i="15"/>
  <c r="Y9" i="15"/>
  <c r="X10" i="15"/>
  <c r="W11" i="15"/>
  <c r="V12" i="15"/>
  <c r="Y13" i="15"/>
  <c r="X14" i="15"/>
  <c r="W15" i="15"/>
  <c r="V16" i="15"/>
  <c r="Y17" i="15"/>
  <c r="X18" i="15"/>
  <c r="W19" i="15"/>
  <c r="V20" i="15"/>
  <c r="Y21" i="15"/>
  <c r="X22" i="15"/>
  <c r="W23" i="15"/>
  <c r="V24" i="15"/>
  <c r="Y25" i="15"/>
  <c r="X26" i="15"/>
  <c r="W27" i="15"/>
  <c r="V28" i="15"/>
  <c r="Y29" i="15"/>
  <c r="X30" i="15"/>
  <c r="W31" i="15"/>
  <c r="V32" i="15"/>
  <c r="Y33" i="15"/>
  <c r="X34" i="15"/>
  <c r="W35" i="15"/>
  <c r="V36" i="15"/>
  <c r="Y37" i="15"/>
  <c r="X38" i="15"/>
  <c r="W39" i="15"/>
  <c r="V40" i="15"/>
  <c r="Y41" i="15"/>
  <c r="X42" i="15"/>
  <c r="W43" i="15"/>
  <c r="V44" i="15"/>
  <c r="Y45" i="15"/>
  <c r="X46" i="15"/>
  <c r="W47" i="15"/>
  <c r="Q5" i="15"/>
  <c r="Q6" i="15"/>
  <c r="Q7" i="15"/>
  <c r="P8" i="15"/>
  <c r="O9" i="15"/>
  <c r="N10" i="15"/>
  <c r="Q11" i="15"/>
  <c r="P12" i="15"/>
  <c r="O13" i="15"/>
  <c r="N14" i="15"/>
  <c r="Q15" i="15"/>
  <c r="P16" i="15"/>
  <c r="O17" i="15"/>
  <c r="N18" i="15"/>
  <c r="Q19" i="15"/>
  <c r="P20" i="15"/>
  <c r="O21" i="15"/>
  <c r="V5" i="15"/>
  <c r="Y6" i="15"/>
  <c r="X7" i="15"/>
  <c r="W8" i="15"/>
  <c r="V9" i="15"/>
  <c r="Y10" i="15"/>
  <c r="X11" i="15"/>
  <c r="W12" i="15"/>
  <c r="V13" i="15"/>
  <c r="Y14" i="15"/>
  <c r="X15" i="15"/>
  <c r="W16" i="15"/>
  <c r="V17" i="15"/>
  <c r="Y18" i="15"/>
  <c r="X19" i="15"/>
  <c r="W20" i="15"/>
  <c r="V21" i="15"/>
  <c r="Y22" i="15"/>
  <c r="X23" i="15"/>
  <c r="W24" i="15"/>
  <c r="V25" i="15"/>
  <c r="Y26" i="15"/>
  <c r="X27" i="15"/>
  <c r="W28" i="15"/>
  <c r="V29" i="15"/>
  <c r="Y30" i="15"/>
  <c r="X31" i="15"/>
  <c r="W32" i="15"/>
  <c r="V33" i="15"/>
  <c r="Y34" i="15"/>
  <c r="X35" i="15"/>
  <c r="W36" i="15"/>
  <c r="V37" i="15"/>
  <c r="Y38" i="15"/>
  <c r="X39" i="15"/>
  <c r="W40" i="15"/>
  <c r="V41" i="15"/>
  <c r="Y42" i="15"/>
  <c r="X43" i="15"/>
  <c r="W44" i="15"/>
  <c r="V45" i="15"/>
  <c r="Y46" i="15"/>
  <c r="N5" i="15"/>
  <c r="N6" i="15"/>
  <c r="N7" i="15"/>
  <c r="P9" i="15"/>
  <c r="O10" i="15"/>
  <c r="N11" i="15"/>
  <c r="P13" i="15"/>
  <c r="O14" i="15"/>
  <c r="N15" i="15"/>
  <c r="P17" i="15"/>
  <c r="O18" i="15"/>
  <c r="P21" i="15"/>
  <c r="W5" i="15"/>
  <c r="V6" i="15"/>
  <c r="Y7" i="15"/>
  <c r="X8" i="15"/>
  <c r="W9" i="15"/>
  <c r="V10" i="15"/>
  <c r="Y11" i="15"/>
  <c r="X12" i="15"/>
  <c r="W13" i="15"/>
  <c r="V14" i="15"/>
  <c r="Y15" i="15"/>
  <c r="X16" i="15"/>
  <c r="W17" i="15"/>
  <c r="V18" i="15"/>
  <c r="Y19" i="15"/>
  <c r="X20" i="15"/>
  <c r="W21" i="15"/>
  <c r="V22" i="15"/>
  <c r="Y23" i="15"/>
  <c r="X24" i="15"/>
  <c r="W25" i="15"/>
  <c r="V26" i="15"/>
  <c r="Y27" i="15"/>
  <c r="X28" i="15"/>
  <c r="W29" i="15"/>
  <c r="V30" i="15"/>
  <c r="Y31" i="15"/>
  <c r="X32" i="15"/>
  <c r="W33" i="15"/>
  <c r="V34" i="15"/>
  <c r="Y35" i="15"/>
  <c r="X36" i="15"/>
  <c r="W37" i="15"/>
  <c r="V38" i="15"/>
  <c r="Y39" i="15"/>
  <c r="X40" i="15"/>
  <c r="W41" i="15"/>
  <c r="V42" i="15"/>
  <c r="B4" i="11"/>
  <c r="C4" i="11" s="1"/>
  <c r="D4" i="11" s="1"/>
  <c r="E4" i="11" s="1"/>
  <c r="F4" i="11" s="1"/>
  <c r="G4" i="11" s="1"/>
  <c r="H4" i="11" s="1"/>
  <c r="S5" i="15" l="1"/>
  <c r="U5" i="15" s="1"/>
  <c r="K6" i="15"/>
  <c r="M6" i="15" s="1"/>
  <c r="K5" i="15"/>
  <c r="M5" i="15" s="1"/>
  <c r="S6" i="15"/>
  <c r="U6" i="15" s="1"/>
  <c r="K7" i="15"/>
  <c r="M7" i="15" s="1"/>
  <c r="V33" i="8"/>
  <c r="V32" i="8"/>
  <c r="V31" i="8"/>
  <c r="V30" i="8"/>
  <c r="V29" i="8"/>
  <c r="V28" i="8"/>
  <c r="V27" i="8"/>
  <c r="V26" i="8"/>
  <c r="V25" i="8"/>
  <c r="V24" i="8"/>
  <c r="V23" i="8"/>
  <c r="V22" i="8"/>
  <c r="V21" i="8"/>
  <c r="V20" i="8"/>
  <c r="V19" i="8"/>
  <c r="V18" i="8"/>
  <c r="V17" i="8"/>
  <c r="V16" i="8"/>
  <c r="V15" i="8"/>
  <c r="V14" i="8"/>
  <c r="V13" i="8"/>
  <c r="V12" i="8"/>
  <c r="AD11" i="8"/>
  <c r="V11" i="8"/>
  <c r="X10" i="8"/>
  <c r="AA10" i="8" s="1"/>
  <c r="V10" i="8"/>
  <c r="AD9" i="8"/>
  <c r="V9" i="8"/>
  <c r="V8" i="8"/>
  <c r="X7" i="8"/>
  <c r="V7" i="8"/>
  <c r="V6" i="8"/>
  <c r="V5" i="8"/>
  <c r="V4" i="8"/>
  <c r="D8" i="1"/>
  <c r="D7" i="1"/>
  <c r="K8" i="15" l="1"/>
  <c r="S7" i="15"/>
  <c r="K9" i="15"/>
  <c r="M9" i="15" s="1"/>
  <c r="S8" i="15"/>
  <c r="U8" i="15" s="1"/>
  <c r="AF7" i="8"/>
  <c r="AD13" i="8" s="1"/>
  <c r="AF11" i="8" s="1"/>
  <c r="AA13" i="8" s="1"/>
  <c r="U7" i="15" l="1"/>
  <c r="S9" i="15"/>
  <c r="M8" i="15"/>
  <c r="K10" i="15"/>
  <c r="S10" i="15"/>
  <c r="U10" i="15" s="1"/>
  <c r="AF9" i="8"/>
  <c r="AF13" i="8" s="1"/>
  <c r="AB13" i="8" s="1"/>
  <c r="T35" i="8" s="1"/>
  <c r="U9" i="15" l="1"/>
  <c r="S11" i="15"/>
  <c r="U11" i="15" s="1"/>
  <c r="M10" i="15"/>
  <c r="K11" i="15"/>
  <c r="K13" i="15" s="1"/>
  <c r="K12" i="15"/>
  <c r="M12" i="15" s="1"/>
  <c r="M13" i="15" l="1"/>
  <c r="K14" i="15"/>
  <c r="M14" i="15" s="1"/>
  <c r="S12" i="15"/>
  <c r="M11" i="15"/>
  <c r="K15" i="15"/>
  <c r="M15" i="15" s="1"/>
  <c r="K16" i="15" l="1"/>
  <c r="U12" i="15"/>
  <c r="S13" i="15"/>
  <c r="U13" i="15" l="1"/>
  <c r="S14" i="15"/>
  <c r="M16" i="15"/>
  <c r="K17" i="15"/>
  <c r="M17" i="15" l="1"/>
  <c r="K18" i="15"/>
  <c r="U14" i="15"/>
  <c r="S15" i="15"/>
  <c r="U15" i="15" l="1"/>
  <c r="S16" i="15"/>
  <c r="M18" i="15"/>
  <c r="K19" i="15"/>
  <c r="M19" i="15" l="1"/>
  <c r="K20" i="15"/>
  <c r="U16" i="15"/>
  <c r="S17" i="15"/>
  <c r="U17" i="15" l="1"/>
  <c r="S18" i="15"/>
  <c r="M20" i="15"/>
  <c r="K21" i="15"/>
  <c r="M21" i="15" s="1"/>
  <c r="U18" i="15" l="1"/>
  <c r="S19" i="15"/>
  <c r="U19" i="15" l="1"/>
  <c r="S20" i="15"/>
  <c r="U20" i="15" l="1"/>
  <c r="S21" i="15"/>
  <c r="U21" i="15" l="1"/>
  <c r="S22" i="15"/>
  <c r="U22" i="15" l="1"/>
  <c r="S23" i="15"/>
  <c r="U23" i="15" l="1"/>
  <c r="S24" i="15"/>
  <c r="U24" i="15" l="1"/>
  <c r="S25" i="15"/>
  <c r="U25" i="15" l="1"/>
  <c r="S26" i="15"/>
  <c r="U26" i="15" l="1"/>
  <c r="S27" i="15"/>
  <c r="U27" i="15" l="1"/>
  <c r="S28" i="15"/>
  <c r="U28" i="15" l="1"/>
  <c r="S29" i="15"/>
  <c r="U29" i="15" l="1"/>
  <c r="S30" i="15"/>
  <c r="U30" i="15" l="1"/>
  <c r="S31" i="15"/>
  <c r="U31" i="15" l="1"/>
  <c r="S32" i="15"/>
  <c r="U32" i="15" l="1"/>
  <c r="S33" i="15"/>
  <c r="U33" i="15" l="1"/>
  <c r="S34" i="15"/>
  <c r="U34" i="15" l="1"/>
  <c r="S35" i="15"/>
  <c r="U35" i="15" l="1"/>
  <c r="S36" i="15"/>
  <c r="U36" i="15" l="1"/>
  <c r="S37" i="15"/>
  <c r="U37" i="15" l="1"/>
  <c r="S38" i="15"/>
  <c r="U38" i="15" l="1"/>
  <c r="S39" i="15"/>
  <c r="U39" i="15" l="1"/>
  <c r="S40" i="15"/>
  <c r="U40" i="15" l="1"/>
  <c r="S41" i="15"/>
  <c r="U41" i="15" l="1"/>
  <c r="S42" i="15"/>
  <c r="U42" i="15" l="1"/>
  <c r="S43" i="15"/>
  <c r="U43" i="15" l="1"/>
  <c r="S44" i="15"/>
  <c r="U44" i="15" l="1"/>
  <c r="S45" i="15"/>
  <c r="U45" i="15" l="1"/>
  <c r="S46" i="15"/>
  <c r="U46" i="15" l="1"/>
  <c r="S47" i="15"/>
  <c r="U47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Butuci, Benjamin</author>
  </authors>
  <commentList>
    <comment ref="D8" authorId="0" shapeId="0" xr:uid="{00000000-0006-0000-0100-00000100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E8" authorId="0" shapeId="0" xr:uid="{00000000-0006-0000-0100-00000200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F8" authorId="0" shapeId="0" xr:uid="{00000000-0006-0000-0100-00000300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G8" authorId="0" shapeId="0" xr:uid="{00000000-0006-0000-0100-00000400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H8" authorId="0" shapeId="0" xr:uid="{00000000-0006-0000-0100-00000500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I8" authorId="0" shapeId="0" xr:uid="{00000000-0006-0000-0100-00000600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J8" authorId="0" shapeId="0" xr:uid="{00000000-0006-0000-0100-00000700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K8" authorId="0" shapeId="0" xr:uid="{00000000-0006-0000-0100-00000800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L8" authorId="0" shapeId="0" xr:uid="{00000000-0006-0000-0100-00000900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M8" authorId="0" shapeId="0" xr:uid="{00000000-0006-0000-0100-00000A00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AV8" authorId="0" shapeId="0" xr:uid="{00000000-0006-0000-0100-00000B000000}">
      <text>
        <r>
          <rPr>
            <sz val="8"/>
            <color indexed="81"/>
            <rFont val="Segoe UI"/>
            <family val="2"/>
          </rPr>
          <t>BAO Sofortlage</t>
        </r>
      </text>
    </comment>
    <comment ref="AW8" authorId="0" shapeId="0" xr:uid="{00000000-0006-0000-0100-00000C000000}">
      <text>
        <r>
          <rPr>
            <sz val="8"/>
            <color indexed="81"/>
            <rFont val="Segoe UI"/>
            <family val="2"/>
          </rPr>
          <t>BAO Sofortlage</t>
        </r>
      </text>
    </comment>
    <comment ref="CP8" authorId="0" shapeId="0" xr:uid="{00000000-0006-0000-0100-00000D000000}">
      <text>
        <r>
          <rPr>
            <sz val="8"/>
            <color indexed="81"/>
            <rFont val="Segoe UI"/>
            <family val="2"/>
          </rPr>
          <t>1KT / 1Sch - 30.06.18</t>
        </r>
      </text>
    </comment>
    <comment ref="D9" authorId="0" shapeId="0" xr:uid="{00000000-0006-0000-0100-00000E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E9" authorId="0" shapeId="0" xr:uid="{00000000-0006-0000-0100-00000F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F9" authorId="0" shapeId="0" xr:uid="{00000000-0006-0000-0100-000010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G9" authorId="0" shapeId="0" xr:uid="{00000000-0006-0000-0100-000011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H9" authorId="0" shapeId="0" xr:uid="{00000000-0006-0000-0100-000012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I9" authorId="0" shapeId="0" xr:uid="{00000000-0006-0000-0100-000013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J9" authorId="0" shapeId="0" xr:uid="{00000000-0006-0000-0100-000014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K9" authorId="0" shapeId="0" xr:uid="{00000000-0006-0000-0100-000015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L9" authorId="0" shapeId="0" xr:uid="{00000000-0006-0000-0100-000016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M9" authorId="0" shapeId="0" xr:uid="{00000000-0006-0000-0100-000017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N9" authorId="0" shapeId="0" xr:uid="{00000000-0006-0000-0100-000018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O9" authorId="0" shapeId="0" xr:uid="{00000000-0006-0000-0100-000019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P9" authorId="0" shapeId="0" xr:uid="{00000000-0006-0000-0100-00001A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Q9" authorId="0" shapeId="0" xr:uid="{00000000-0006-0000-0100-00001B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R9" authorId="0" shapeId="0" xr:uid="{00000000-0006-0000-0100-00001C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S9" authorId="0" shapeId="0" xr:uid="{00000000-0006-0000-0100-00001D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T9" authorId="0" shapeId="0" xr:uid="{00000000-0006-0000-0100-00001E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U9" authorId="0" shapeId="0" xr:uid="{00000000-0006-0000-0100-00001F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V9" authorId="0" shapeId="0" xr:uid="{00000000-0006-0000-0100-000020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W9" authorId="0" shapeId="0" xr:uid="{00000000-0006-0000-0100-000021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X9" authorId="0" shapeId="0" xr:uid="{00000000-0006-0000-0100-000022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Y9" authorId="0" shapeId="0" xr:uid="{00000000-0006-0000-0100-000023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Z9" authorId="0" shapeId="0" xr:uid="{00000000-0006-0000-0100-000024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AA9" authorId="0" shapeId="0" xr:uid="{00000000-0006-0000-0100-000025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AB9" authorId="0" shapeId="0" xr:uid="{00000000-0006-0000-0100-000026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AC9" authorId="0" shapeId="0" xr:uid="{00000000-0006-0000-0100-000027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AD9" authorId="0" shapeId="0" xr:uid="{00000000-0006-0000-0100-000028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AE9" authorId="0" shapeId="0" xr:uid="{00000000-0006-0000-0100-000029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AF9" authorId="0" shapeId="0" xr:uid="{00000000-0006-0000-0100-00002A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AG9" authorId="0" shapeId="0" xr:uid="{00000000-0006-0000-0100-00002B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AH9" authorId="0" shapeId="0" xr:uid="{00000000-0006-0000-0100-00002C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AI9" authorId="0" shapeId="0" xr:uid="{00000000-0006-0000-0100-00002D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AJ9" authorId="0" shapeId="0" xr:uid="{00000000-0006-0000-0100-00002E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AK9" authorId="0" shapeId="0" xr:uid="{00000000-0006-0000-0100-00002F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AL9" authorId="0" shapeId="0" xr:uid="{00000000-0006-0000-0100-000030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AM9" authorId="0" shapeId="0" xr:uid="{00000000-0006-0000-0100-000031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AN9" authorId="0" shapeId="0" xr:uid="{00000000-0006-0000-0100-000032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AO9" authorId="0" shapeId="0" xr:uid="{00000000-0006-0000-0100-000033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AP9" authorId="0" shapeId="0" xr:uid="{00000000-0006-0000-0100-000034000000}">
      <text>
        <r>
          <rPr>
            <sz val="8"/>
            <color indexed="81"/>
            <rFont val="Segoe UI"/>
            <family val="2"/>
          </rPr>
          <t>III v. IV - 2017</t>
        </r>
      </text>
    </comment>
    <comment ref="AQ9" authorId="0" shapeId="0" xr:uid="{00000000-0006-0000-0100-000035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AR9" authorId="0" shapeId="0" xr:uid="{00000000-0006-0000-0100-000036000000}">
      <text>
        <r>
          <rPr>
            <sz val="8"/>
            <color indexed="81"/>
            <rFont val="Segoe UI"/>
            <family val="2"/>
          </rPr>
          <t>IV v. IV - 2017</t>
        </r>
      </text>
    </comment>
    <comment ref="AS9" authorId="0" shapeId="0" xr:uid="{00000000-0006-0000-0100-000037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AT9" authorId="0" shapeId="0" xr:uid="{00000000-0006-0000-0100-000038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AU9" authorId="0" shapeId="0" xr:uid="{00000000-0006-0000-0100-000039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AV9" authorId="0" shapeId="0" xr:uid="{00000000-0006-0000-0100-00003A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AW9" authorId="0" shapeId="0" xr:uid="{00000000-0006-0000-0100-00003B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AX9" authorId="0" shapeId="0" xr:uid="{00000000-0006-0000-0100-00003C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AY9" authorId="0" shapeId="0" xr:uid="{00000000-0006-0000-0100-00003D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AZ9" authorId="0" shapeId="0" xr:uid="{00000000-0006-0000-0100-00003E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BA9" authorId="0" shapeId="0" xr:uid="{00000000-0006-0000-0100-00003F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BB9" authorId="0" shapeId="0" xr:uid="{00000000-0006-0000-0100-000040000000}">
      <text>
        <r>
          <rPr>
            <sz val="8"/>
            <color indexed="81"/>
            <rFont val="Segoe UI"/>
            <family val="2"/>
          </rPr>
          <t>Kost EbKom</t>
        </r>
      </text>
    </comment>
    <comment ref="BG9" authorId="0" shapeId="0" xr:uid="{00000000-0006-0000-0100-000041000000}">
      <text>
        <r>
          <rPr>
            <sz val="8"/>
            <color indexed="81"/>
            <rFont val="Segoe UI"/>
            <family val="2"/>
          </rPr>
          <t>27 KT / 16 Sch - 21.06.18</t>
        </r>
      </text>
    </comment>
    <comment ref="BH9" authorId="0" shapeId="0" xr:uid="{00000000-0006-0000-0100-000042000000}">
      <text>
        <r>
          <rPr>
            <sz val="8"/>
            <color indexed="81"/>
            <rFont val="Segoe UI"/>
            <family val="2"/>
          </rPr>
          <t>27 KT / 16 Sch - 21.06.18</t>
        </r>
      </text>
    </comment>
    <comment ref="BI9" authorId="0" shapeId="0" xr:uid="{00000000-0006-0000-0100-000043000000}">
      <text>
        <r>
          <rPr>
            <sz val="8"/>
            <color indexed="81"/>
            <rFont val="Segoe UI"/>
            <family val="2"/>
          </rPr>
          <t>27 KT / 16 Sch - 21.06.18</t>
        </r>
      </text>
    </comment>
    <comment ref="BJ9" authorId="0" shapeId="0" xr:uid="{00000000-0006-0000-0100-000044000000}">
      <text>
        <r>
          <rPr>
            <sz val="8"/>
            <color indexed="81"/>
            <rFont val="Segoe UI"/>
            <family val="2"/>
          </rPr>
          <t>27 KT / 16 Sch - 21.06.18</t>
        </r>
      </text>
    </comment>
    <comment ref="BK9" authorId="0" shapeId="0" xr:uid="{00000000-0006-0000-0100-000045000000}">
      <text>
        <r>
          <rPr>
            <sz val="8"/>
            <color indexed="81"/>
            <rFont val="Segoe UI"/>
            <family val="2"/>
          </rPr>
          <t>27 KT / 16 Sch - 21.06.18</t>
        </r>
      </text>
    </comment>
    <comment ref="BL9" authorId="0" shapeId="0" xr:uid="{00000000-0006-0000-0100-000046000000}">
      <text>
        <r>
          <rPr>
            <sz val="8"/>
            <color indexed="81"/>
            <rFont val="Segoe UI"/>
            <family val="2"/>
          </rPr>
          <t>27 KT / 16 Sch - 21.06.18</t>
        </r>
      </text>
    </comment>
    <comment ref="BM9" authorId="0" shapeId="0" xr:uid="{00000000-0006-0000-0100-000047000000}">
      <text>
        <r>
          <rPr>
            <sz val="8"/>
            <color indexed="81"/>
            <rFont val="Segoe UI"/>
            <family val="2"/>
          </rPr>
          <t>27 KT / 16 Sch - 21.06.18</t>
        </r>
      </text>
    </comment>
    <comment ref="BN9" authorId="0" shapeId="0" xr:uid="{00000000-0006-0000-0100-000048000000}">
      <text>
        <r>
          <rPr>
            <sz val="8"/>
            <color indexed="81"/>
            <rFont val="Segoe UI"/>
            <family val="2"/>
          </rPr>
          <t>27 KT / 16 Sch - 21.06.18</t>
        </r>
      </text>
    </comment>
    <comment ref="BO9" authorId="0" shapeId="0" xr:uid="{00000000-0006-0000-0100-000049000000}">
      <text>
        <r>
          <rPr>
            <sz val="8"/>
            <color indexed="81"/>
            <rFont val="Segoe UI"/>
            <family val="2"/>
          </rPr>
          <t>27 KT / 16 Sch - 21.06.18</t>
        </r>
      </text>
    </comment>
    <comment ref="BP9" authorId="0" shapeId="0" xr:uid="{00000000-0006-0000-0100-00004A000000}">
      <text>
        <r>
          <rPr>
            <sz val="8"/>
            <color indexed="81"/>
            <rFont val="Segoe UI"/>
            <family val="2"/>
          </rPr>
          <t>27 KT / 16 Sch - 21.06.18</t>
        </r>
      </text>
    </comment>
    <comment ref="BQ9" authorId="0" shapeId="0" xr:uid="{00000000-0006-0000-0100-00004B000000}">
      <text>
        <r>
          <rPr>
            <sz val="8"/>
            <color indexed="81"/>
            <rFont val="Segoe UI"/>
            <family val="2"/>
          </rPr>
          <t>27 KT / 16 Sch - 21.06.18</t>
        </r>
      </text>
    </comment>
    <comment ref="BR9" authorId="0" shapeId="0" xr:uid="{00000000-0006-0000-0100-00004C000000}">
      <text>
        <r>
          <rPr>
            <sz val="8"/>
            <color indexed="81"/>
            <rFont val="Segoe UI"/>
            <family val="2"/>
          </rPr>
          <t>27 KT / 16 Sch - 21.06.18</t>
        </r>
      </text>
    </comment>
    <comment ref="BS9" authorId="0" shapeId="0" xr:uid="{00000000-0006-0000-0100-00004D000000}">
      <text>
        <r>
          <rPr>
            <sz val="8"/>
            <color indexed="81"/>
            <rFont val="Segoe UI"/>
            <family val="2"/>
          </rPr>
          <t>27 KT / 16 Sch - 21.06.18</t>
        </r>
      </text>
    </comment>
    <comment ref="BT9" authorId="0" shapeId="0" xr:uid="{00000000-0006-0000-0100-00004E000000}">
      <text>
        <r>
          <rPr>
            <sz val="8"/>
            <color indexed="81"/>
            <rFont val="Segoe UI"/>
            <family val="2"/>
          </rPr>
          <t>27 KT / 16 Sch - 21.06.18</t>
        </r>
      </text>
    </comment>
    <comment ref="BU9" authorId="0" shapeId="0" xr:uid="{00000000-0006-0000-0100-00004F000000}">
      <text>
        <r>
          <rPr>
            <sz val="8"/>
            <color indexed="81"/>
            <rFont val="Segoe UI"/>
            <family val="2"/>
          </rPr>
          <t>27 KT / 16 Sch - 21.06.18</t>
        </r>
      </text>
    </comment>
    <comment ref="BV9" authorId="0" shapeId="0" xr:uid="{00000000-0006-0000-0100-000050000000}">
      <text>
        <r>
          <rPr>
            <sz val="8"/>
            <color indexed="81"/>
            <rFont val="Segoe UI"/>
            <family val="2"/>
          </rPr>
          <t>27 KT / 16 Sch - 21.06.18</t>
        </r>
      </text>
    </comment>
    <comment ref="BW9" authorId="0" shapeId="0" xr:uid="{00000000-0006-0000-0100-000051000000}">
      <text>
        <r>
          <rPr>
            <sz val="8"/>
            <color indexed="81"/>
            <rFont val="Segoe UI"/>
            <family val="2"/>
          </rPr>
          <t>27 KT / 16 Sch - 21.06.18</t>
        </r>
      </text>
    </comment>
    <comment ref="BX9" authorId="0" shapeId="0" xr:uid="{00000000-0006-0000-0100-000052000000}">
      <text>
        <r>
          <rPr>
            <sz val="8"/>
            <color indexed="81"/>
            <rFont val="Segoe UI"/>
            <family val="2"/>
          </rPr>
          <t>27 KT / 16 Sch - 21.06.18</t>
        </r>
      </text>
    </comment>
    <comment ref="BY9" authorId="0" shapeId="0" xr:uid="{00000000-0006-0000-0100-000053000000}">
      <text>
        <r>
          <rPr>
            <sz val="8"/>
            <color indexed="81"/>
            <rFont val="Segoe UI"/>
            <family val="2"/>
          </rPr>
          <t>27 KT / 16 Sch - 21.06.18</t>
        </r>
      </text>
    </comment>
    <comment ref="BZ9" authorId="0" shapeId="0" xr:uid="{00000000-0006-0000-0100-000054000000}">
      <text>
        <r>
          <rPr>
            <sz val="8"/>
            <color indexed="81"/>
            <rFont val="Segoe UI"/>
            <family val="2"/>
          </rPr>
          <t>27 KT / 16 Sch - 21.06.18</t>
        </r>
      </text>
    </comment>
    <comment ref="CA9" authorId="0" shapeId="0" xr:uid="{00000000-0006-0000-0100-000055000000}">
      <text>
        <r>
          <rPr>
            <sz val="8"/>
            <color indexed="81"/>
            <rFont val="Segoe UI"/>
            <family val="2"/>
          </rPr>
          <t>27 KT / 16 Sch - 21.06.18</t>
        </r>
      </text>
    </comment>
    <comment ref="CB9" authorId="0" shapeId="0" xr:uid="{00000000-0006-0000-0100-000056000000}">
      <text>
        <r>
          <rPr>
            <sz val="8"/>
            <color indexed="81"/>
            <rFont val="Segoe UI"/>
            <family val="2"/>
          </rPr>
          <t>27 KT / 16 Sch - 21.06.18</t>
        </r>
      </text>
    </comment>
    <comment ref="CC9" authorId="0" shapeId="0" xr:uid="{00000000-0006-0000-0100-000057000000}">
      <text>
        <r>
          <rPr>
            <sz val="8"/>
            <color indexed="81"/>
            <rFont val="Segoe UI"/>
            <family val="2"/>
          </rPr>
          <t>27 KT / 16 Sch - 21.06.18</t>
        </r>
      </text>
    </comment>
    <comment ref="CD9" authorId="0" shapeId="0" xr:uid="{00000000-0006-0000-0100-000058000000}">
      <text>
        <r>
          <rPr>
            <sz val="8"/>
            <color indexed="81"/>
            <rFont val="Segoe UI"/>
            <family val="2"/>
          </rPr>
          <t>27 KT / 16 Sch - 21.06.18</t>
        </r>
      </text>
    </comment>
    <comment ref="CE9" authorId="0" shapeId="0" xr:uid="{00000000-0006-0000-0100-000059000000}">
      <text>
        <r>
          <rPr>
            <sz val="8"/>
            <color indexed="81"/>
            <rFont val="Segoe UI"/>
            <family val="2"/>
          </rPr>
          <t>27 KT / 16 Sch - 21.06.18</t>
        </r>
      </text>
    </comment>
    <comment ref="CF9" authorId="0" shapeId="0" xr:uid="{00000000-0006-0000-0100-00005A000000}">
      <text>
        <r>
          <rPr>
            <sz val="8"/>
            <color indexed="81"/>
            <rFont val="Segoe UI"/>
            <family val="2"/>
          </rPr>
          <t>27 KT / 16 Sch - 21.06.18</t>
        </r>
      </text>
    </comment>
    <comment ref="CG9" authorId="0" shapeId="0" xr:uid="{00000000-0006-0000-0100-00005B000000}">
      <text>
        <r>
          <rPr>
            <sz val="8"/>
            <color indexed="81"/>
            <rFont val="Segoe UI"/>
            <family val="2"/>
          </rPr>
          <t>27 KT / 16 Sch - 21.06.18</t>
        </r>
      </text>
    </comment>
    <comment ref="CL9" authorId="0" shapeId="0" xr:uid="{00000000-0006-0000-0100-00005C000000}">
      <text>
        <r>
          <rPr>
            <sz val="8"/>
            <color indexed="81"/>
            <rFont val="Segoe UI"/>
            <family val="2"/>
          </rPr>
          <t>Zugführerseminar</t>
        </r>
      </text>
    </comment>
    <comment ref="CM9" authorId="0" shapeId="0" xr:uid="{00000000-0006-0000-0100-00005D000000}">
      <text>
        <r>
          <rPr>
            <sz val="8"/>
            <color indexed="81"/>
            <rFont val="Segoe UI"/>
            <family val="2"/>
          </rPr>
          <t>Zugführerseminar</t>
        </r>
      </text>
    </comment>
    <comment ref="CE11" authorId="0" shapeId="0" xr:uid="{00000000-0006-0000-0100-00005E000000}">
      <text>
        <r>
          <rPr>
            <sz val="8"/>
            <color indexed="81"/>
            <rFont val="Segoe UI"/>
            <family val="2"/>
          </rPr>
          <t>2 KT / 2 Sch - 20.06.18</t>
        </r>
      </text>
    </comment>
    <comment ref="CF11" authorId="0" shapeId="0" xr:uid="{00000000-0006-0000-0100-00005F000000}">
      <text>
        <r>
          <rPr>
            <sz val="8"/>
            <color indexed="81"/>
            <rFont val="Segoe UI"/>
            <family val="2"/>
          </rPr>
          <t>2 KT / 2 Sch - 20.06.18</t>
        </r>
      </text>
    </comment>
    <comment ref="CH11" authorId="0" shapeId="0" xr:uid="{00000000-0006-0000-0100-000060000000}">
      <text>
        <r>
          <rPr>
            <sz val="8"/>
            <color indexed="81"/>
            <rFont val="Segoe UI"/>
            <family val="2"/>
          </rPr>
          <t>1 KT / 1 Sch - 22.06.18</t>
        </r>
      </text>
    </comment>
    <comment ref="BX12" authorId="0" shapeId="0" xr:uid="{00000000-0006-0000-0100-000061000000}">
      <text>
        <r>
          <rPr>
            <b/>
            <sz val="8"/>
            <color indexed="81"/>
            <rFont val="Segoe UI"/>
            <family val="2"/>
          </rPr>
          <t>Teil-DA ab 16:3</t>
        </r>
        <r>
          <rPr>
            <sz val="8"/>
            <color indexed="81"/>
            <rFont val="Segoe UI"/>
            <family val="2"/>
          </rPr>
          <t>0h</t>
        </r>
      </text>
    </comment>
    <comment ref="CE12" authorId="0" shapeId="0" xr:uid="{00000000-0006-0000-0100-000062000000}">
      <text>
        <r>
          <rPr>
            <sz val="8"/>
            <color indexed="81"/>
            <rFont val="Segoe UI"/>
            <family val="2"/>
          </rPr>
          <t>Teil - DA ab 17h</t>
        </r>
      </text>
    </comment>
    <comment ref="D14" authorId="0" shapeId="0" xr:uid="{00000000-0006-0000-0100-000063000000}">
      <text>
        <r>
          <rPr>
            <sz val="8"/>
            <color indexed="81"/>
            <rFont val="Segoe UI"/>
            <family val="2"/>
          </rPr>
          <t>18 KT / 11 Sch - 18.04.18</t>
        </r>
      </text>
    </comment>
    <comment ref="E14" authorId="0" shapeId="0" xr:uid="{00000000-0006-0000-0100-000064000000}">
      <text>
        <r>
          <rPr>
            <sz val="8"/>
            <color indexed="81"/>
            <rFont val="Segoe UI"/>
            <family val="2"/>
          </rPr>
          <t>18 KT / 11 Sch - 18.04.18</t>
        </r>
      </text>
    </comment>
    <comment ref="F14" authorId="0" shapeId="0" xr:uid="{00000000-0006-0000-0100-000065000000}">
      <text>
        <r>
          <rPr>
            <sz val="8"/>
            <color indexed="81"/>
            <rFont val="Segoe UI"/>
            <family val="2"/>
          </rPr>
          <t>18 KT / 11 Sch - 18.04.18</t>
        </r>
      </text>
    </comment>
    <comment ref="G14" authorId="0" shapeId="0" xr:uid="{00000000-0006-0000-0100-000066000000}">
      <text>
        <r>
          <rPr>
            <sz val="8"/>
            <color indexed="81"/>
            <rFont val="Segoe UI"/>
            <family val="2"/>
          </rPr>
          <t>18 KT / 11 Sch - 18.04.18</t>
        </r>
      </text>
    </comment>
    <comment ref="H14" authorId="0" shapeId="0" xr:uid="{00000000-0006-0000-0100-000067000000}">
      <text>
        <r>
          <rPr>
            <sz val="8"/>
            <color indexed="81"/>
            <rFont val="Segoe UI"/>
            <family val="2"/>
          </rPr>
          <t>18 KT / 11 Sch - 18.04.18</t>
        </r>
      </text>
    </comment>
    <comment ref="I14" authorId="0" shapeId="0" xr:uid="{00000000-0006-0000-0100-000068000000}">
      <text>
        <r>
          <rPr>
            <sz val="8"/>
            <color indexed="81"/>
            <rFont val="Segoe UI"/>
            <family val="2"/>
          </rPr>
          <t>18 KT / 11 Sch - 18.04.18</t>
        </r>
      </text>
    </comment>
    <comment ref="J14" authorId="0" shapeId="0" xr:uid="{00000000-0006-0000-0100-000069000000}">
      <text>
        <r>
          <rPr>
            <sz val="8"/>
            <color indexed="81"/>
            <rFont val="Segoe UI"/>
            <family val="2"/>
          </rPr>
          <t>18 KT / 11 Sch - 18.04.18</t>
        </r>
      </text>
    </comment>
    <comment ref="K14" authorId="0" shapeId="0" xr:uid="{00000000-0006-0000-0100-00006A000000}">
      <text>
        <r>
          <rPr>
            <sz val="8"/>
            <color indexed="81"/>
            <rFont val="Segoe UI"/>
            <family val="2"/>
          </rPr>
          <t>18 KT / 11 Sch - 18.04.18</t>
        </r>
      </text>
    </comment>
    <comment ref="L14" authorId="0" shapeId="0" xr:uid="{00000000-0006-0000-0100-00006B000000}">
      <text>
        <r>
          <rPr>
            <sz val="8"/>
            <color indexed="81"/>
            <rFont val="Segoe UI"/>
            <family val="2"/>
          </rPr>
          <t>18 KT / 11 Sch - 18.04.18</t>
        </r>
      </text>
    </comment>
    <comment ref="M14" authorId="0" shapeId="0" xr:uid="{00000000-0006-0000-0100-00006C000000}">
      <text>
        <r>
          <rPr>
            <sz val="8"/>
            <color indexed="81"/>
            <rFont val="Segoe UI"/>
            <family val="2"/>
          </rPr>
          <t>18 KT / 11 Sch - 18.04.18</t>
        </r>
      </text>
    </comment>
    <comment ref="N14" authorId="0" shapeId="0" xr:uid="{00000000-0006-0000-0100-00006D000000}">
      <text>
        <r>
          <rPr>
            <sz val="8"/>
            <color indexed="81"/>
            <rFont val="Segoe UI"/>
            <family val="2"/>
          </rPr>
          <t>18 KT / 11 Sch - 18.04.18</t>
        </r>
      </text>
    </comment>
    <comment ref="O14" authorId="0" shapeId="0" xr:uid="{00000000-0006-0000-0100-00006E000000}">
      <text>
        <r>
          <rPr>
            <sz val="8"/>
            <color indexed="81"/>
            <rFont val="Segoe UI"/>
            <family val="2"/>
          </rPr>
          <t>18 KT / 11 Sch - 18.04.18</t>
        </r>
      </text>
    </comment>
    <comment ref="P14" authorId="0" shapeId="0" xr:uid="{00000000-0006-0000-0100-00006F000000}">
      <text>
        <r>
          <rPr>
            <sz val="8"/>
            <color indexed="81"/>
            <rFont val="Segoe UI"/>
            <family val="2"/>
          </rPr>
          <t>18 KT / 11 Sch - 18.04.18</t>
        </r>
      </text>
    </comment>
    <comment ref="Q14" authorId="0" shapeId="0" xr:uid="{00000000-0006-0000-0100-000070000000}">
      <text>
        <r>
          <rPr>
            <sz val="8"/>
            <color indexed="81"/>
            <rFont val="Segoe UI"/>
            <family val="2"/>
          </rPr>
          <t>18 KT / 11 Sch - 18.04.18</t>
        </r>
      </text>
    </comment>
    <comment ref="R14" authorId="0" shapeId="0" xr:uid="{00000000-0006-0000-0100-000071000000}">
      <text>
        <r>
          <rPr>
            <sz val="8"/>
            <color indexed="81"/>
            <rFont val="Segoe UI"/>
            <family val="2"/>
          </rPr>
          <t>18 KT / 11 Sch - 18.04.18</t>
        </r>
      </text>
    </comment>
    <comment ref="S14" authorId="0" shapeId="0" xr:uid="{00000000-0006-0000-0100-000072000000}">
      <text>
        <r>
          <rPr>
            <sz val="8"/>
            <color indexed="81"/>
            <rFont val="Segoe UI"/>
            <family val="2"/>
          </rPr>
          <t>18 KT / 11 Sch - 18.04.18</t>
        </r>
      </text>
    </comment>
    <comment ref="T14" authorId="0" shapeId="0" xr:uid="{00000000-0006-0000-0100-000073000000}">
      <text>
        <r>
          <rPr>
            <sz val="8"/>
            <color indexed="81"/>
            <rFont val="Segoe UI"/>
            <family val="2"/>
          </rPr>
          <t>18 KT / 11 Sch - 18.04.18</t>
        </r>
      </text>
    </comment>
    <comment ref="U14" authorId="0" shapeId="0" xr:uid="{00000000-0006-0000-0100-000074000000}">
      <text>
        <r>
          <rPr>
            <sz val="8"/>
            <color indexed="81"/>
            <rFont val="Segoe UI"/>
            <family val="2"/>
          </rPr>
          <t>18 KT / 11 Sch - 18.04.18</t>
        </r>
      </text>
    </comment>
    <comment ref="F15" authorId="0" shapeId="0" xr:uid="{00000000-0006-0000-0100-000075000000}">
      <text>
        <r>
          <rPr>
            <sz val="8"/>
            <color indexed="81"/>
            <rFont val="Segoe UI"/>
            <family val="2"/>
          </rPr>
          <t>1 KT / 1 Sch - 03.04.18</t>
        </r>
      </text>
    </comment>
    <comment ref="J15" authorId="0" shapeId="0" xr:uid="{00000000-0006-0000-0100-000076000000}">
      <text>
        <r>
          <rPr>
            <sz val="8"/>
            <color indexed="81"/>
            <rFont val="Segoe UI"/>
            <family val="2"/>
          </rPr>
          <t>SD</t>
        </r>
      </text>
    </comment>
    <comment ref="AS15" authorId="0" shapeId="0" xr:uid="{00000000-0006-0000-0100-000077000000}">
      <text>
        <r>
          <rPr>
            <sz val="8"/>
            <color indexed="81"/>
            <rFont val="Segoe UI"/>
            <family val="2"/>
          </rPr>
          <t>12a aus 2017</t>
        </r>
      </text>
    </comment>
    <comment ref="AT15" authorId="0" shapeId="0" xr:uid="{00000000-0006-0000-0100-000078000000}">
      <text>
        <r>
          <rPr>
            <sz val="8"/>
            <color indexed="81"/>
            <rFont val="Segoe UI"/>
            <family val="2"/>
          </rPr>
          <t>12a aus 2017</t>
        </r>
      </text>
    </comment>
    <comment ref="AX15" authorId="0" shapeId="0" xr:uid="{00000000-0006-0000-0100-000079000000}">
      <text>
        <r>
          <rPr>
            <sz val="8"/>
            <color indexed="81"/>
            <rFont val="Segoe UI"/>
            <family val="2"/>
          </rPr>
          <t>20KT / 13Sch - 05.06.18</t>
        </r>
      </text>
    </comment>
    <comment ref="AY15" authorId="0" shapeId="0" xr:uid="{00000000-0006-0000-0100-00007A000000}">
      <text>
        <r>
          <rPr>
            <sz val="8"/>
            <color indexed="81"/>
            <rFont val="Segoe UI"/>
            <family val="2"/>
          </rPr>
          <t>20KT / 13Sch - 05.06.18</t>
        </r>
      </text>
    </comment>
    <comment ref="AZ15" authorId="0" shapeId="0" xr:uid="{00000000-0006-0000-0100-00007B000000}">
      <text>
        <r>
          <rPr>
            <sz val="8"/>
            <color indexed="81"/>
            <rFont val="Segoe UI"/>
            <family val="2"/>
          </rPr>
          <t>20KT / 13Sch - 05.06.18</t>
        </r>
      </text>
    </comment>
    <comment ref="BA15" authorId="0" shapeId="0" xr:uid="{00000000-0006-0000-0100-00007C000000}">
      <text>
        <r>
          <rPr>
            <sz val="8"/>
            <color indexed="81"/>
            <rFont val="Segoe UI"/>
            <family val="2"/>
          </rPr>
          <t>20KT / 13Sch - 05.06.18</t>
        </r>
      </text>
    </comment>
    <comment ref="BB15" authorId="0" shapeId="0" xr:uid="{00000000-0006-0000-0100-00007D000000}">
      <text>
        <r>
          <rPr>
            <sz val="8"/>
            <color indexed="81"/>
            <rFont val="Segoe UI"/>
            <family val="2"/>
          </rPr>
          <t>20KT / 13Sch - 05.06.18</t>
        </r>
      </text>
    </comment>
    <comment ref="BC15" authorId="0" shapeId="0" xr:uid="{00000000-0006-0000-0100-00007E000000}">
      <text>
        <r>
          <rPr>
            <sz val="8"/>
            <color indexed="81"/>
            <rFont val="Segoe UI"/>
            <family val="2"/>
          </rPr>
          <t>20KT / 13Sch - 05.06.18</t>
        </r>
      </text>
    </comment>
    <comment ref="BD15" authorId="0" shapeId="0" xr:uid="{00000000-0006-0000-0100-00007F000000}">
      <text>
        <r>
          <rPr>
            <sz val="8"/>
            <color indexed="81"/>
            <rFont val="Segoe UI"/>
            <family val="2"/>
          </rPr>
          <t>20KT / 13Sch - 05.06.18</t>
        </r>
      </text>
    </comment>
    <comment ref="BE15" authorId="0" shapeId="0" xr:uid="{00000000-0006-0000-0100-000080000000}">
      <text>
        <r>
          <rPr>
            <sz val="8"/>
            <color indexed="81"/>
            <rFont val="Segoe UI"/>
            <family val="2"/>
          </rPr>
          <t>20KT / 13Sch - 05.06.18</t>
        </r>
      </text>
    </comment>
    <comment ref="BF15" authorId="0" shapeId="0" xr:uid="{00000000-0006-0000-0100-000081000000}">
      <text>
        <r>
          <rPr>
            <sz val="8"/>
            <color indexed="81"/>
            <rFont val="Segoe UI"/>
            <family val="2"/>
          </rPr>
          <t>20KT / 13Sch - 05.06.18</t>
        </r>
      </text>
    </comment>
    <comment ref="BG15" authorId="0" shapeId="0" xr:uid="{00000000-0006-0000-0100-000082000000}">
      <text>
        <r>
          <rPr>
            <sz val="8"/>
            <color indexed="81"/>
            <rFont val="Segoe UI"/>
            <family val="2"/>
          </rPr>
          <t>20KT / 13Sch - 05.06.18</t>
        </r>
      </text>
    </comment>
    <comment ref="BH15" authorId="0" shapeId="0" xr:uid="{00000000-0006-0000-0100-000083000000}">
      <text>
        <r>
          <rPr>
            <sz val="8"/>
            <color indexed="81"/>
            <rFont val="Segoe UI"/>
            <family val="2"/>
          </rPr>
          <t>20KT / 13Sch - 05.06.18</t>
        </r>
      </text>
    </comment>
    <comment ref="BI15" authorId="0" shapeId="0" xr:uid="{00000000-0006-0000-0100-000084000000}">
      <text>
        <r>
          <rPr>
            <sz val="8"/>
            <color indexed="81"/>
            <rFont val="Segoe UI"/>
            <family val="2"/>
          </rPr>
          <t>20KT / 13Sch - 05.06.18</t>
        </r>
      </text>
    </comment>
    <comment ref="BJ15" authorId="0" shapeId="0" xr:uid="{00000000-0006-0000-0100-000085000000}">
      <text>
        <r>
          <rPr>
            <sz val="8"/>
            <color indexed="81"/>
            <rFont val="Segoe UI"/>
            <family val="2"/>
          </rPr>
          <t>20KT / 13Sch - 05.06.18</t>
        </r>
      </text>
    </comment>
    <comment ref="BK15" authorId="0" shapeId="0" xr:uid="{00000000-0006-0000-0100-000086000000}">
      <text>
        <r>
          <rPr>
            <sz val="8"/>
            <color indexed="81"/>
            <rFont val="Segoe UI"/>
            <family val="2"/>
          </rPr>
          <t>20KT / 13Sch - 05.06.18</t>
        </r>
      </text>
    </comment>
    <comment ref="BL15" authorId="0" shapeId="0" xr:uid="{00000000-0006-0000-0100-000087000000}">
      <text>
        <r>
          <rPr>
            <sz val="8"/>
            <color indexed="81"/>
            <rFont val="Segoe UI"/>
            <family val="2"/>
          </rPr>
          <t>20KT / 13Sch - 05.06.18</t>
        </r>
      </text>
    </comment>
    <comment ref="BM15" authorId="0" shapeId="0" xr:uid="{00000000-0006-0000-0100-000088000000}">
      <text>
        <r>
          <rPr>
            <sz val="8"/>
            <color indexed="81"/>
            <rFont val="Segoe UI"/>
            <family val="2"/>
          </rPr>
          <t>20KT / 13Sch - 05.06.18</t>
        </r>
      </text>
    </comment>
    <comment ref="BN15" authorId="0" shapeId="0" xr:uid="{00000000-0006-0000-0100-000089000000}">
      <text>
        <r>
          <rPr>
            <sz val="8"/>
            <color indexed="81"/>
            <rFont val="Segoe UI"/>
            <family val="2"/>
          </rPr>
          <t>20KT / 13Sch - 05.06.18</t>
        </r>
      </text>
    </comment>
    <comment ref="BO15" authorId="0" shapeId="0" xr:uid="{00000000-0006-0000-0100-00008A000000}">
      <text>
        <r>
          <rPr>
            <sz val="8"/>
            <color indexed="81"/>
            <rFont val="Segoe UI"/>
            <family val="2"/>
          </rPr>
          <t>20KT / 13Sch - 05.06.18</t>
        </r>
      </text>
    </comment>
    <comment ref="BP15" authorId="0" shapeId="0" xr:uid="{00000000-0006-0000-0100-00008B000000}">
      <text>
        <r>
          <rPr>
            <sz val="8"/>
            <color indexed="81"/>
            <rFont val="Segoe UI"/>
            <family val="2"/>
          </rPr>
          <t>20KT / 13Sch - 05.06.18</t>
        </r>
      </text>
    </comment>
    <comment ref="BQ15" authorId="0" shapeId="0" xr:uid="{00000000-0006-0000-0100-00008C000000}">
      <text>
        <r>
          <rPr>
            <sz val="8"/>
            <color indexed="81"/>
            <rFont val="Segoe UI"/>
            <family val="2"/>
          </rPr>
          <t>20KT / 13Sch - 05.06.18</t>
        </r>
      </text>
    </comment>
    <comment ref="CH15" authorId="0" shapeId="0" xr:uid="{00000000-0006-0000-0100-00008D000000}">
      <text>
        <r>
          <rPr>
            <sz val="8"/>
            <color indexed="81"/>
            <rFont val="Segoe UI"/>
            <family val="2"/>
          </rPr>
          <t>Teil - DA ab 0 Uhr</t>
        </r>
      </text>
    </comment>
    <comment ref="J16" authorId="0" shapeId="0" xr:uid="{00000000-0006-0000-0100-00008E000000}">
      <text>
        <r>
          <rPr>
            <sz val="8"/>
            <color indexed="81"/>
            <rFont val="Segoe UI"/>
            <family val="2"/>
          </rPr>
          <t>11 KT / 7 Sch - 17.04.18</t>
        </r>
      </text>
    </comment>
    <comment ref="K16" authorId="0" shapeId="0" xr:uid="{00000000-0006-0000-0100-00008F000000}">
      <text>
        <r>
          <rPr>
            <sz val="8"/>
            <color indexed="81"/>
            <rFont val="Segoe UI"/>
            <family val="2"/>
          </rPr>
          <t>11 KT / 7 Sch - 17.04.18</t>
        </r>
      </text>
    </comment>
    <comment ref="L16" authorId="0" shapeId="0" xr:uid="{00000000-0006-0000-0100-000090000000}">
      <text>
        <r>
          <rPr>
            <sz val="8"/>
            <color indexed="81"/>
            <rFont val="Segoe UI"/>
            <family val="2"/>
          </rPr>
          <t>11 KT / 7 Sch - 17.04.18</t>
        </r>
      </text>
    </comment>
    <comment ref="M16" authorId="0" shapeId="0" xr:uid="{00000000-0006-0000-0100-000091000000}">
      <text>
        <r>
          <rPr>
            <sz val="8"/>
            <color indexed="81"/>
            <rFont val="Segoe UI"/>
            <family val="2"/>
          </rPr>
          <t>11 KT / 7 Sch - 17.04.18</t>
        </r>
      </text>
    </comment>
    <comment ref="N16" authorId="0" shapeId="0" xr:uid="{00000000-0006-0000-0100-000092000000}">
      <text>
        <r>
          <rPr>
            <sz val="8"/>
            <color indexed="81"/>
            <rFont val="Segoe UI"/>
            <family val="2"/>
          </rPr>
          <t>11 KT / 7 Sch - 17.04.18</t>
        </r>
      </text>
    </comment>
    <comment ref="O16" authorId="0" shapeId="0" xr:uid="{00000000-0006-0000-0100-000093000000}">
      <text>
        <r>
          <rPr>
            <sz val="8"/>
            <color indexed="81"/>
            <rFont val="Segoe UI"/>
            <family val="2"/>
          </rPr>
          <t>11 KT / 7 Sch - 17.04.18</t>
        </r>
      </text>
    </comment>
    <comment ref="P16" authorId="0" shapeId="0" xr:uid="{00000000-0006-0000-0100-000094000000}">
      <text>
        <r>
          <rPr>
            <sz val="8"/>
            <color indexed="81"/>
            <rFont val="Segoe UI"/>
            <family val="2"/>
          </rPr>
          <t>11 KT / 7 Sch - 17.04.18</t>
        </r>
      </text>
    </comment>
    <comment ref="Q16" authorId="0" shapeId="0" xr:uid="{00000000-0006-0000-0100-000095000000}">
      <text>
        <r>
          <rPr>
            <sz val="8"/>
            <color indexed="81"/>
            <rFont val="Segoe UI"/>
            <family val="2"/>
          </rPr>
          <t>11 KT / 7 Sch - 17.04.18</t>
        </r>
      </text>
    </comment>
    <comment ref="R16" authorId="0" shapeId="0" xr:uid="{00000000-0006-0000-0100-000096000000}">
      <text>
        <r>
          <rPr>
            <sz val="8"/>
            <color indexed="81"/>
            <rFont val="Segoe UI"/>
            <family val="2"/>
          </rPr>
          <t>11 KT / 7 Sch - 17.04.18</t>
        </r>
      </text>
    </comment>
    <comment ref="S16" authorId="0" shapeId="0" xr:uid="{00000000-0006-0000-0100-000097000000}">
      <text>
        <r>
          <rPr>
            <sz val="8"/>
            <color indexed="81"/>
            <rFont val="Segoe UI"/>
            <family val="2"/>
          </rPr>
          <t>11 KT / 7 Sch - 17.04.18</t>
        </r>
      </text>
    </comment>
    <comment ref="T16" authorId="0" shapeId="0" xr:uid="{00000000-0006-0000-0100-000098000000}">
      <text>
        <r>
          <rPr>
            <sz val="8"/>
            <color indexed="81"/>
            <rFont val="Segoe UI"/>
            <family val="2"/>
          </rPr>
          <t>11 KT / 7 Sch - 17.04.18</t>
        </r>
      </text>
    </comment>
    <comment ref="U16" authorId="0" shapeId="0" xr:uid="{00000000-0006-0000-0100-000099000000}">
      <text>
        <r>
          <rPr>
            <sz val="8"/>
            <color indexed="81"/>
            <rFont val="Segoe UI"/>
            <family val="2"/>
          </rPr>
          <t>2 KT / 2 Sch - 19.04.18</t>
        </r>
      </text>
    </comment>
    <comment ref="V16" authorId="0" shapeId="0" xr:uid="{00000000-0006-0000-0100-00009A000000}">
      <text>
        <r>
          <rPr>
            <sz val="8"/>
            <color indexed="81"/>
            <rFont val="Segoe UI"/>
            <family val="2"/>
          </rPr>
          <t>2 KT / 2 Sch - 19.04.18</t>
        </r>
      </text>
    </comment>
    <comment ref="AA16" authorId="0" shapeId="0" xr:uid="{00000000-0006-0000-0100-00009B000000}">
      <text>
        <r>
          <rPr>
            <sz val="8"/>
            <color indexed="81"/>
            <rFont val="Segoe UI"/>
            <family val="2"/>
          </rPr>
          <t>1 KT / 1 Sch - 24.04.18</t>
        </r>
      </text>
    </comment>
    <comment ref="BZ16" authorId="0" shapeId="0" xr:uid="{00000000-0006-0000-0100-00009C000000}">
      <text>
        <r>
          <rPr>
            <sz val="8"/>
            <color indexed="81"/>
            <rFont val="Segoe UI"/>
            <family val="2"/>
          </rPr>
          <t>16 KT / 8 Sch - 29.06.18</t>
        </r>
      </text>
    </comment>
    <comment ref="CA16" authorId="0" shapeId="0" xr:uid="{00000000-0006-0000-0100-00009D000000}">
      <text>
        <r>
          <rPr>
            <sz val="8"/>
            <color indexed="81"/>
            <rFont val="Segoe UI"/>
            <family val="2"/>
          </rPr>
          <t>16 KT / 8 Sch - 29.06.18</t>
        </r>
      </text>
    </comment>
    <comment ref="CB16" authorId="0" shapeId="0" xr:uid="{00000000-0006-0000-0100-00009E000000}">
      <text>
        <r>
          <rPr>
            <sz val="8"/>
            <color indexed="81"/>
            <rFont val="Segoe UI"/>
            <family val="2"/>
          </rPr>
          <t>16 KT / 8 Sch - 29.06.18</t>
        </r>
      </text>
    </comment>
    <comment ref="CC16" authorId="0" shapeId="0" xr:uid="{00000000-0006-0000-0100-00009F000000}">
      <text>
        <r>
          <rPr>
            <sz val="8"/>
            <color indexed="81"/>
            <rFont val="Segoe UI"/>
            <family val="2"/>
          </rPr>
          <t>16 KT / 8 Sch - 29.06.18</t>
        </r>
      </text>
    </comment>
    <comment ref="CD16" authorId="0" shapeId="0" xr:uid="{00000000-0006-0000-0100-0000A0000000}">
      <text>
        <r>
          <rPr>
            <sz val="8"/>
            <color indexed="81"/>
            <rFont val="Segoe UI"/>
            <family val="2"/>
          </rPr>
          <t>16 KT / 8 Sch - 29.06.18</t>
        </r>
      </text>
    </comment>
    <comment ref="CE16" authorId="0" shapeId="0" xr:uid="{00000000-0006-0000-0100-0000A1000000}">
      <text>
        <r>
          <rPr>
            <sz val="8"/>
            <color indexed="81"/>
            <rFont val="Segoe UI"/>
            <family val="2"/>
          </rPr>
          <t>16 KT / 8 Sch - 29.06.18</t>
        </r>
      </text>
    </comment>
    <comment ref="CF16" authorId="0" shapeId="0" xr:uid="{00000000-0006-0000-0100-0000A2000000}">
      <text>
        <r>
          <rPr>
            <sz val="8"/>
            <color indexed="81"/>
            <rFont val="Segoe UI"/>
            <family val="2"/>
          </rPr>
          <t>16 KT / 8 Sch - 29.06.18</t>
        </r>
      </text>
    </comment>
    <comment ref="CG16" authorId="0" shapeId="0" xr:uid="{00000000-0006-0000-0100-0000A3000000}">
      <text>
        <r>
          <rPr>
            <sz val="8"/>
            <color indexed="81"/>
            <rFont val="Segoe UI"/>
            <family val="2"/>
          </rPr>
          <t>16 KT / 8 Sch - 29.06.18</t>
        </r>
      </text>
    </comment>
    <comment ref="CH16" authorId="0" shapeId="0" xr:uid="{00000000-0006-0000-0100-0000A4000000}">
      <text>
        <r>
          <rPr>
            <sz val="8"/>
            <color indexed="81"/>
            <rFont val="Segoe UI"/>
            <family val="2"/>
          </rPr>
          <t>16 KT / 8 Sch - 29.06.18</t>
        </r>
      </text>
    </comment>
    <comment ref="CI16" authorId="0" shapeId="0" xr:uid="{00000000-0006-0000-0100-0000A5000000}">
      <text>
        <r>
          <rPr>
            <sz val="8"/>
            <color indexed="81"/>
            <rFont val="Segoe UI"/>
            <family val="2"/>
          </rPr>
          <t>16 KT / 8 Sch - 29.06.18</t>
        </r>
      </text>
    </comment>
    <comment ref="CJ16" authorId="0" shapeId="0" xr:uid="{00000000-0006-0000-0100-0000A6000000}">
      <text>
        <r>
          <rPr>
            <sz val="8"/>
            <color indexed="81"/>
            <rFont val="Segoe UI"/>
            <family val="2"/>
          </rPr>
          <t>16 KT / 8 Sch - 29.06.18</t>
        </r>
      </text>
    </comment>
    <comment ref="CK16" authorId="0" shapeId="0" xr:uid="{00000000-0006-0000-0100-0000A7000000}">
      <text>
        <r>
          <rPr>
            <sz val="8"/>
            <color indexed="81"/>
            <rFont val="Segoe UI"/>
            <family val="2"/>
          </rPr>
          <t>16 KT / 8 Sch - 29.06.18</t>
        </r>
      </text>
    </comment>
    <comment ref="CL16" authorId="0" shapeId="0" xr:uid="{00000000-0006-0000-0100-0000A8000000}">
      <text>
        <r>
          <rPr>
            <sz val="8"/>
            <color indexed="81"/>
            <rFont val="Segoe UI"/>
            <family val="2"/>
          </rPr>
          <t>16 KT / 8 Sch - 29.06.18</t>
        </r>
      </text>
    </comment>
    <comment ref="CM16" authorId="0" shapeId="0" xr:uid="{00000000-0006-0000-0100-0000A9000000}">
      <text>
        <r>
          <rPr>
            <sz val="8"/>
            <color indexed="81"/>
            <rFont val="Segoe UI"/>
            <family val="2"/>
          </rPr>
          <t>16 KT / 8 Sch - 29.06.18</t>
        </r>
      </text>
    </comment>
    <comment ref="CN16" authorId="0" shapeId="0" xr:uid="{00000000-0006-0000-0100-0000AA000000}">
      <text>
        <r>
          <rPr>
            <sz val="8"/>
            <color indexed="81"/>
            <rFont val="Segoe UI"/>
            <family val="2"/>
          </rPr>
          <t>16 KT / 8 Sch - 29.06.18</t>
        </r>
      </text>
    </comment>
    <comment ref="CO16" authorId="0" shapeId="0" xr:uid="{00000000-0006-0000-0100-0000AB000000}">
      <text>
        <r>
          <rPr>
            <sz val="8"/>
            <color indexed="81"/>
            <rFont val="Segoe UI"/>
            <family val="2"/>
          </rPr>
          <t>16 KT / 8 Sch - 29.06.18</t>
        </r>
      </text>
    </comment>
    <comment ref="AU18" authorId="0" shapeId="0" xr:uid="{00000000-0006-0000-0100-0000AC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AV18" authorId="0" shapeId="0" xr:uid="{00000000-0006-0000-0100-0000AD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AW18" authorId="0" shapeId="0" xr:uid="{00000000-0006-0000-0100-0000AE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AX18" authorId="0" shapeId="0" xr:uid="{00000000-0006-0000-0100-0000AF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AY18" authorId="0" shapeId="0" xr:uid="{00000000-0006-0000-0100-0000B0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AZ18" authorId="0" shapeId="0" xr:uid="{00000000-0006-0000-0100-0000B1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BA18" authorId="0" shapeId="0" xr:uid="{00000000-0006-0000-0100-0000B2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BB18" authorId="0" shapeId="0" xr:uid="{00000000-0006-0000-0100-0000B3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BC18" authorId="0" shapeId="0" xr:uid="{00000000-0006-0000-0100-0000B4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BD18" authorId="0" shapeId="0" xr:uid="{00000000-0006-0000-0100-0000B5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BE18" authorId="0" shapeId="0" xr:uid="{00000000-0006-0000-0100-0000B6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BF18" authorId="0" shapeId="0" xr:uid="{00000000-0006-0000-0100-0000B7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BG18" authorId="0" shapeId="0" xr:uid="{00000000-0006-0000-0100-0000B8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BH18" authorId="0" shapeId="0" xr:uid="{00000000-0006-0000-0100-0000B9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BI18" authorId="0" shapeId="0" xr:uid="{00000000-0006-0000-0100-0000BA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BJ18" authorId="0" shapeId="0" xr:uid="{00000000-0006-0000-0100-0000BB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BK18" authorId="0" shapeId="0" xr:uid="{00000000-0006-0000-0100-0000BC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BL18" authorId="0" shapeId="0" xr:uid="{00000000-0006-0000-0100-0000BD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BM18" authorId="0" shapeId="0" xr:uid="{00000000-0006-0000-0100-0000BE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BN18" authorId="0" shapeId="0" xr:uid="{00000000-0006-0000-0100-0000BF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BO18" authorId="0" shapeId="0" xr:uid="{00000000-0006-0000-0100-0000C0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BP18" authorId="0" shapeId="0" xr:uid="{00000000-0006-0000-0100-0000C1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BQ18" authorId="0" shapeId="0" xr:uid="{00000000-0006-0000-0100-0000C2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BR18" authorId="0" shapeId="0" xr:uid="{00000000-0006-0000-0100-0000C3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BS18" authorId="0" shapeId="0" xr:uid="{00000000-0006-0000-0100-0000C4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BT18" authorId="0" shapeId="0" xr:uid="{00000000-0006-0000-0100-0000C5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BU18" authorId="0" shapeId="0" xr:uid="{00000000-0006-0000-0100-0000C6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BV18" authorId="0" shapeId="0" xr:uid="{00000000-0006-0000-0100-0000C7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BW18" authorId="0" shapeId="0" xr:uid="{00000000-0006-0000-0100-0000C8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BX18" authorId="0" shapeId="0" xr:uid="{00000000-0006-0000-0100-0000C9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BY18" authorId="0" shapeId="0" xr:uid="{00000000-0006-0000-0100-0000CA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BZ18" authorId="0" shapeId="0" xr:uid="{00000000-0006-0000-0100-0000CB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CA18" authorId="0" shapeId="0" xr:uid="{00000000-0006-0000-0100-0000CC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CB18" authorId="0" shapeId="0" xr:uid="{00000000-0006-0000-0100-0000CD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CC18" authorId="0" shapeId="0" xr:uid="{00000000-0006-0000-0100-0000CE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CD18" authorId="0" shapeId="0" xr:uid="{00000000-0006-0000-0100-0000CF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CE18" authorId="0" shapeId="0" xr:uid="{00000000-0006-0000-0100-0000D0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CF18" authorId="0" shapeId="0" xr:uid="{00000000-0006-0000-0100-0000D1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CG18" authorId="0" shapeId="0" xr:uid="{00000000-0006-0000-0100-0000D2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CH18" authorId="0" shapeId="0" xr:uid="{00000000-0006-0000-0100-0000D3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CI18" authorId="0" shapeId="0" xr:uid="{00000000-0006-0000-0100-0000D4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CJ18" authorId="0" shapeId="0" xr:uid="{00000000-0006-0000-0100-0000D5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CK18" authorId="0" shapeId="0" xr:uid="{00000000-0006-0000-0100-0000D6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CL18" authorId="0" shapeId="0" xr:uid="{00000000-0006-0000-0100-0000D7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CM18" authorId="0" shapeId="0" xr:uid="{00000000-0006-0000-0100-0000D8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CN18" authorId="0" shapeId="0" xr:uid="{00000000-0006-0000-0100-0000D9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CO18" authorId="0" shapeId="0" xr:uid="{00000000-0006-0000-0100-0000DA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CP18" authorId="0" shapeId="0" xr:uid="{00000000-0006-0000-0100-0000DB000000}">
      <text>
        <r>
          <rPr>
            <sz val="8"/>
            <color indexed="81"/>
            <rFont val="Segoe UI"/>
            <family val="2"/>
          </rPr>
          <t>Beschäftigungsverbot</t>
        </r>
      </text>
    </comment>
    <comment ref="S19" authorId="0" shapeId="0" xr:uid="{00000000-0006-0000-0100-0000DC000000}">
      <text>
        <r>
          <rPr>
            <sz val="8"/>
            <color indexed="81"/>
            <rFont val="Segoe UI"/>
            <family val="2"/>
          </rPr>
          <t>§ 12 a aus 2017</t>
        </r>
      </text>
    </comment>
    <comment ref="T19" authorId="0" shapeId="0" xr:uid="{00000000-0006-0000-0100-0000DD000000}">
      <text>
        <r>
          <rPr>
            <sz val="8"/>
            <color indexed="81"/>
            <rFont val="Segoe UI"/>
            <family val="2"/>
          </rPr>
          <t>10 KT / 6 Sch - 26.04.18</t>
        </r>
      </text>
    </comment>
    <comment ref="U19" authorId="0" shapeId="0" xr:uid="{00000000-0006-0000-0100-0000DE000000}">
      <text>
        <r>
          <rPr>
            <sz val="8"/>
            <color indexed="81"/>
            <rFont val="Segoe UI"/>
            <family val="2"/>
          </rPr>
          <t>10 KT / 6 Sch - 26.04.18</t>
        </r>
      </text>
    </comment>
    <comment ref="V19" authorId="0" shapeId="0" xr:uid="{00000000-0006-0000-0100-0000DF000000}">
      <text>
        <r>
          <rPr>
            <sz val="8"/>
            <color indexed="81"/>
            <rFont val="Segoe UI"/>
            <family val="2"/>
          </rPr>
          <t>10 KT / 6 Sch - 26.04.18</t>
        </r>
      </text>
    </comment>
    <comment ref="W19" authorId="0" shapeId="0" xr:uid="{00000000-0006-0000-0100-0000E0000000}">
      <text>
        <r>
          <rPr>
            <sz val="8"/>
            <color indexed="81"/>
            <rFont val="Segoe UI"/>
            <family val="2"/>
          </rPr>
          <t>10 KT / 6 Sch - 26.04.18</t>
        </r>
      </text>
    </comment>
    <comment ref="X19" authorId="0" shapeId="0" xr:uid="{00000000-0006-0000-0100-0000E1000000}">
      <text>
        <r>
          <rPr>
            <sz val="8"/>
            <color indexed="81"/>
            <rFont val="Segoe UI"/>
            <family val="2"/>
          </rPr>
          <t>10 KT / 6 Sch - 26.04.18</t>
        </r>
      </text>
    </comment>
    <comment ref="Y19" authorId="0" shapeId="0" xr:uid="{00000000-0006-0000-0100-0000E2000000}">
      <text>
        <r>
          <rPr>
            <sz val="8"/>
            <color indexed="81"/>
            <rFont val="Segoe UI"/>
            <family val="2"/>
          </rPr>
          <t>10 KT / 6 Sch - 26.04.18</t>
        </r>
      </text>
    </comment>
    <comment ref="Z19" authorId="0" shapeId="0" xr:uid="{00000000-0006-0000-0100-0000E3000000}">
      <text>
        <r>
          <rPr>
            <sz val="8"/>
            <color indexed="81"/>
            <rFont val="Segoe UI"/>
            <family val="2"/>
          </rPr>
          <t>10 KT / 6 Sch - 26.04.18</t>
        </r>
      </text>
    </comment>
    <comment ref="AA19" authorId="0" shapeId="0" xr:uid="{00000000-0006-0000-0100-0000E4000000}">
      <text>
        <r>
          <rPr>
            <sz val="8"/>
            <color indexed="81"/>
            <rFont val="Segoe UI"/>
            <family val="2"/>
          </rPr>
          <t>10 KT / 6 Sch - 26.04.18</t>
        </r>
      </text>
    </comment>
    <comment ref="AB19" authorId="0" shapeId="0" xr:uid="{00000000-0006-0000-0100-0000E5000000}">
      <text>
        <r>
          <rPr>
            <sz val="8"/>
            <color indexed="81"/>
            <rFont val="Segoe UI"/>
            <family val="2"/>
          </rPr>
          <t>10 KT / 6 Sch - 26.04.18</t>
        </r>
      </text>
    </comment>
    <comment ref="AC19" authorId="0" shapeId="0" xr:uid="{00000000-0006-0000-0100-0000E6000000}">
      <text>
        <r>
          <rPr>
            <sz val="8"/>
            <color indexed="81"/>
            <rFont val="Segoe UI"/>
            <family val="2"/>
          </rPr>
          <t>10 KT / 6 Sch - 26.04.18</t>
        </r>
      </text>
    </comment>
    <comment ref="BO19" authorId="0" shapeId="0" xr:uid="{00000000-0006-0000-0100-0000E7000000}">
      <text>
        <r>
          <rPr>
            <sz val="8"/>
            <color indexed="81"/>
            <rFont val="Segoe UI"/>
            <family val="2"/>
          </rPr>
          <t>AZV 2018</t>
        </r>
      </text>
    </comment>
    <comment ref="D20" authorId="0" shapeId="0" xr:uid="{00000000-0006-0000-0100-0000E8000000}">
      <text>
        <r>
          <rPr>
            <sz val="8"/>
            <color indexed="81"/>
            <rFont val="Segoe UI"/>
            <family val="2"/>
          </rPr>
          <t>3KT / 3Sch - 03.04.18</t>
        </r>
      </text>
    </comment>
    <comment ref="E20" authorId="0" shapeId="0" xr:uid="{00000000-0006-0000-0100-0000E9000000}">
      <text>
        <r>
          <rPr>
            <sz val="8"/>
            <color indexed="81"/>
            <rFont val="Segoe UI"/>
            <family val="2"/>
          </rPr>
          <t>3KT / 3Sch - 03.04.18</t>
        </r>
      </text>
    </comment>
    <comment ref="F20" authorId="0" shapeId="0" xr:uid="{00000000-0006-0000-0100-0000EA000000}">
      <text>
        <r>
          <rPr>
            <sz val="8"/>
            <color indexed="81"/>
            <rFont val="Segoe UI"/>
            <family val="2"/>
          </rPr>
          <t>3KT / 3Sch - 03.04.18</t>
        </r>
      </text>
    </comment>
    <comment ref="K20" authorId="0" shapeId="0" xr:uid="{00000000-0006-0000-0100-0000EB000000}">
      <text>
        <r>
          <rPr>
            <sz val="8"/>
            <color indexed="81"/>
            <rFont val="Segoe UI"/>
            <family val="2"/>
          </rPr>
          <t>D1</t>
        </r>
      </text>
    </comment>
    <comment ref="L20" authorId="0" shapeId="0" xr:uid="{00000000-0006-0000-0100-0000EC000000}">
      <text>
        <r>
          <rPr>
            <sz val="8"/>
            <color indexed="81"/>
            <rFont val="Segoe UI"/>
            <family val="2"/>
          </rPr>
          <t>§ 12 a aus 2017</t>
        </r>
      </text>
    </comment>
    <comment ref="Z20" authorId="0" shapeId="0" xr:uid="{00000000-0006-0000-0100-0000ED000000}">
      <text>
        <r>
          <rPr>
            <sz val="8"/>
            <color indexed="81"/>
            <rFont val="Segoe UI"/>
            <family val="2"/>
          </rPr>
          <t>VGBS III</t>
        </r>
      </text>
    </comment>
    <comment ref="AA20" authorId="0" shapeId="0" xr:uid="{00000000-0006-0000-0100-0000EE000000}">
      <text>
        <r>
          <rPr>
            <sz val="8"/>
            <color indexed="81"/>
            <rFont val="Segoe UI"/>
            <family val="2"/>
          </rPr>
          <t>VGBS III</t>
        </r>
      </text>
    </comment>
    <comment ref="AB20" authorId="0" shapeId="0" xr:uid="{00000000-0006-0000-0100-0000EF000000}">
      <text>
        <r>
          <rPr>
            <sz val="8"/>
            <color indexed="81"/>
            <rFont val="Segoe UI"/>
            <family val="2"/>
          </rPr>
          <t>VGBS III</t>
        </r>
      </text>
    </comment>
    <comment ref="BZ20" authorId="0" shapeId="0" xr:uid="{00000000-0006-0000-0100-0000F0000000}">
      <text>
        <r>
          <rPr>
            <sz val="8"/>
            <color indexed="81"/>
            <rFont val="Segoe UI"/>
            <family val="2"/>
          </rPr>
          <t>29KT / 17Sch - 30.06.18</t>
        </r>
      </text>
    </comment>
    <comment ref="CB20" authorId="0" shapeId="0" xr:uid="{00000000-0006-0000-0100-0000F1000000}">
      <text>
        <r>
          <rPr>
            <sz val="8"/>
            <color indexed="81"/>
            <rFont val="Segoe UI"/>
            <family val="2"/>
          </rPr>
          <t>29KT / 17Sch - 30.06.18</t>
        </r>
      </text>
    </comment>
    <comment ref="CC20" authorId="0" shapeId="0" xr:uid="{00000000-0006-0000-0100-0000F2000000}">
      <text>
        <r>
          <rPr>
            <sz val="8"/>
            <color indexed="81"/>
            <rFont val="Segoe UI"/>
            <family val="2"/>
          </rPr>
          <t>29KT / 17Sch - 30.06.18</t>
        </r>
      </text>
    </comment>
    <comment ref="CD20" authorId="0" shapeId="0" xr:uid="{00000000-0006-0000-0100-0000F3000000}">
      <text>
        <r>
          <rPr>
            <sz val="8"/>
            <color indexed="81"/>
            <rFont val="Segoe UI"/>
            <family val="2"/>
          </rPr>
          <t>29KT / 17Sch - 30.06.18</t>
        </r>
      </text>
    </comment>
    <comment ref="CE20" authorId="0" shapeId="0" xr:uid="{00000000-0006-0000-0100-0000F4000000}">
      <text>
        <r>
          <rPr>
            <sz val="8"/>
            <color indexed="81"/>
            <rFont val="Segoe UI"/>
            <family val="2"/>
          </rPr>
          <t>29KT / 17Sch - 30.06.18</t>
        </r>
      </text>
    </comment>
    <comment ref="CF20" authorId="0" shapeId="0" xr:uid="{00000000-0006-0000-0100-0000F5000000}">
      <text>
        <r>
          <rPr>
            <sz val="8"/>
            <color indexed="81"/>
            <rFont val="Segoe UI"/>
            <family val="2"/>
          </rPr>
          <t>29KT / 17Sch - 30.06.18</t>
        </r>
      </text>
    </comment>
    <comment ref="CG20" authorId="0" shapeId="0" xr:uid="{00000000-0006-0000-0100-0000F6000000}">
      <text>
        <r>
          <rPr>
            <sz val="8"/>
            <color indexed="81"/>
            <rFont val="Segoe UI"/>
            <family val="2"/>
          </rPr>
          <t>29KT / 17Sch - 30.06.18</t>
        </r>
      </text>
    </comment>
    <comment ref="CH20" authorId="0" shapeId="0" xr:uid="{00000000-0006-0000-0100-0000F7000000}">
      <text>
        <r>
          <rPr>
            <sz val="8"/>
            <color indexed="81"/>
            <rFont val="Segoe UI"/>
            <family val="2"/>
          </rPr>
          <t>29KT / 17Sch - 30.06.18</t>
        </r>
      </text>
    </comment>
    <comment ref="CI20" authorId="0" shapeId="0" xr:uid="{00000000-0006-0000-0100-0000F8000000}">
      <text>
        <r>
          <rPr>
            <sz val="8"/>
            <color indexed="81"/>
            <rFont val="Segoe UI"/>
            <family val="2"/>
          </rPr>
          <t>29KT / 17Sch - 30.06.18</t>
        </r>
      </text>
    </comment>
    <comment ref="CJ20" authorId="0" shapeId="0" xr:uid="{00000000-0006-0000-0100-0000F9000000}">
      <text>
        <r>
          <rPr>
            <sz val="8"/>
            <color indexed="81"/>
            <rFont val="Segoe UI"/>
            <family val="2"/>
          </rPr>
          <t>29KT / 17Sch - 30.06.18</t>
        </r>
      </text>
    </comment>
    <comment ref="CL20" authorId="0" shapeId="0" xr:uid="{00000000-0006-0000-0100-0000FA000000}">
      <text>
        <r>
          <rPr>
            <sz val="8"/>
            <color indexed="81"/>
            <rFont val="Segoe UI"/>
            <family val="2"/>
          </rPr>
          <t>29KT / 17Sch - 30.06.18</t>
        </r>
      </text>
    </comment>
    <comment ref="CM20" authorId="0" shapeId="0" xr:uid="{00000000-0006-0000-0100-0000FB000000}">
      <text>
        <r>
          <rPr>
            <sz val="8"/>
            <color indexed="81"/>
            <rFont val="Segoe UI"/>
            <family val="2"/>
          </rPr>
          <t>29KT / 17Sch - 30.06.18</t>
        </r>
      </text>
    </comment>
    <comment ref="CN20" authorId="0" shapeId="0" xr:uid="{00000000-0006-0000-0100-0000FC000000}">
      <text>
        <r>
          <rPr>
            <sz val="8"/>
            <color indexed="81"/>
            <rFont val="Segoe UI"/>
            <family val="2"/>
          </rPr>
          <t>29KT / 17Sch - 30.06.18</t>
        </r>
      </text>
    </comment>
    <comment ref="CO20" authorId="0" shapeId="0" xr:uid="{00000000-0006-0000-0100-0000FD000000}">
      <text>
        <r>
          <rPr>
            <sz val="8"/>
            <color indexed="81"/>
            <rFont val="Segoe UI"/>
            <family val="2"/>
          </rPr>
          <t>29KT / 17Sch - 30.06.18</t>
        </r>
      </text>
    </comment>
    <comment ref="CP20" authorId="0" shapeId="0" xr:uid="{00000000-0006-0000-0100-0000FE000000}">
      <text>
        <r>
          <rPr>
            <sz val="8"/>
            <color indexed="81"/>
            <rFont val="Segoe UI"/>
            <family val="2"/>
          </rPr>
          <t>29KT / 17Sch - 30.06.18</t>
        </r>
      </text>
    </comment>
    <comment ref="K21" authorId="0" shapeId="0" xr:uid="{00000000-0006-0000-0100-0000FF000000}">
      <text>
        <r>
          <rPr>
            <sz val="8"/>
            <color indexed="81"/>
            <rFont val="Segoe UI"/>
            <family val="2"/>
          </rPr>
          <t>D1</t>
        </r>
      </text>
    </comment>
    <comment ref="AA21" authorId="0" shapeId="0" xr:uid="{00000000-0006-0000-0100-000000010000}">
      <text>
        <r>
          <rPr>
            <sz val="8"/>
            <color indexed="81"/>
            <rFont val="Segoe UI"/>
            <family val="2"/>
          </rPr>
          <t>§12 a aus 2017</t>
        </r>
      </text>
    </comment>
    <comment ref="AN21" authorId="0" shapeId="0" xr:uid="{00000000-0006-0000-0100-000001010000}">
      <text>
        <r>
          <rPr>
            <sz val="8"/>
            <color indexed="81"/>
            <rFont val="Segoe UI"/>
            <family val="2"/>
          </rPr>
          <t>Sani</t>
        </r>
      </text>
    </comment>
    <comment ref="AO21" authorId="0" shapeId="0" xr:uid="{00000000-0006-0000-0100-000002010000}">
      <text>
        <r>
          <rPr>
            <sz val="8"/>
            <color indexed="81"/>
            <rFont val="Segoe UI"/>
            <family val="2"/>
          </rPr>
          <t>Sani</t>
        </r>
      </text>
    </comment>
    <comment ref="AP21" authorId="0" shapeId="0" xr:uid="{00000000-0006-0000-0100-000003010000}">
      <text>
        <r>
          <rPr>
            <sz val="8"/>
            <color indexed="81"/>
            <rFont val="Segoe UI"/>
            <family val="2"/>
          </rPr>
          <t>Sani</t>
        </r>
      </text>
    </comment>
    <comment ref="AT21" authorId="0" shapeId="0" xr:uid="{00000000-0006-0000-0100-000004010000}">
      <text>
        <r>
          <rPr>
            <sz val="8"/>
            <color indexed="81"/>
            <rFont val="Segoe UI"/>
            <family val="2"/>
          </rPr>
          <t>12a aus 2017</t>
        </r>
      </text>
    </comment>
    <comment ref="BB21" authorId="0" shapeId="0" xr:uid="{00000000-0006-0000-0100-000005010000}">
      <text>
        <r>
          <rPr>
            <sz val="8"/>
            <color indexed="81"/>
            <rFont val="Segoe UI"/>
            <family val="2"/>
          </rPr>
          <t>12a aus 2017</t>
        </r>
      </text>
    </comment>
    <comment ref="BN21" authorId="0" shapeId="0" xr:uid="{00000000-0006-0000-0100-000006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BO21" authorId="0" shapeId="0" xr:uid="{00000000-0006-0000-0100-000007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BP21" authorId="0" shapeId="0" xr:uid="{00000000-0006-0000-0100-000008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BQ21" authorId="0" shapeId="0" xr:uid="{00000000-0006-0000-0100-000009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BR21" authorId="0" shapeId="0" xr:uid="{00000000-0006-0000-0100-00000A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BS21" authorId="0" shapeId="0" xr:uid="{00000000-0006-0000-0100-00000B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BT21" authorId="0" shapeId="0" xr:uid="{00000000-0006-0000-0100-00000C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BU21" authorId="0" shapeId="0" xr:uid="{00000000-0006-0000-0100-00000D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BV21" authorId="0" shapeId="0" xr:uid="{00000000-0006-0000-0100-00000E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BW21" authorId="0" shapeId="0" xr:uid="{00000000-0006-0000-0100-00000F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BX21" authorId="0" shapeId="0" xr:uid="{00000000-0006-0000-0100-000010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BY21" authorId="0" shapeId="0" xr:uid="{00000000-0006-0000-0100-000011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BZ21" authorId="0" shapeId="0" xr:uid="{00000000-0006-0000-0100-000012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CA21" authorId="0" shapeId="0" xr:uid="{00000000-0006-0000-0100-000013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CB21" authorId="0" shapeId="0" xr:uid="{00000000-0006-0000-0100-000014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CC21" authorId="0" shapeId="0" xr:uid="{00000000-0006-0000-0100-000015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CD21" authorId="0" shapeId="0" xr:uid="{00000000-0006-0000-0100-000016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CE21" authorId="0" shapeId="0" xr:uid="{00000000-0006-0000-0100-000017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CF21" authorId="0" shapeId="0" xr:uid="{00000000-0006-0000-0100-000018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CG21" authorId="0" shapeId="0" xr:uid="{00000000-0006-0000-0100-000019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CH21" authorId="0" shapeId="0" xr:uid="{00000000-0006-0000-0100-00001A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CI21" authorId="0" shapeId="0" xr:uid="{00000000-0006-0000-0100-00001B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CJ21" authorId="0" shapeId="0" xr:uid="{00000000-0006-0000-0100-00001C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CK21" authorId="0" shapeId="0" xr:uid="{00000000-0006-0000-0100-00001D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CL21" authorId="0" shapeId="0" xr:uid="{00000000-0006-0000-0100-00001E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CM21" authorId="0" shapeId="0" xr:uid="{00000000-0006-0000-0100-00001F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CN21" authorId="0" shapeId="0" xr:uid="{00000000-0006-0000-0100-000020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CO21" authorId="0" shapeId="0" xr:uid="{00000000-0006-0000-0100-000021010000}">
      <text>
        <r>
          <rPr>
            <sz val="8"/>
            <color indexed="81"/>
            <rFont val="Segoe UI"/>
            <family val="2"/>
          </rPr>
          <t>28 KT / 16 Sch - 29.06.18</t>
        </r>
      </text>
    </comment>
    <comment ref="AB22" authorId="0" shapeId="0" xr:uid="{00000000-0006-0000-0100-000022010000}">
      <text>
        <r>
          <rPr>
            <sz val="8"/>
            <color indexed="81"/>
            <rFont val="Segoe UI"/>
            <family val="2"/>
          </rPr>
          <t>3. Zug</t>
        </r>
      </text>
    </comment>
    <comment ref="AQ22" authorId="0" shapeId="0" xr:uid="{00000000-0006-0000-0100-000023010000}">
      <text>
        <r>
          <rPr>
            <sz val="8"/>
            <color indexed="81"/>
            <rFont val="Segoe UI"/>
            <family val="2"/>
          </rPr>
          <t>4 KT / 4 Sch - 13.05.18</t>
        </r>
      </text>
    </comment>
    <comment ref="AR22" authorId="0" shapeId="0" xr:uid="{00000000-0006-0000-0100-000024010000}">
      <text>
        <r>
          <rPr>
            <sz val="8"/>
            <color indexed="81"/>
            <rFont val="Segoe UI"/>
            <family val="2"/>
          </rPr>
          <t>4 KT / 4 Sch - 13.05.18</t>
        </r>
      </text>
    </comment>
    <comment ref="AS22" authorId="0" shapeId="0" xr:uid="{00000000-0006-0000-0100-000025010000}">
      <text>
        <r>
          <rPr>
            <sz val="8"/>
            <color indexed="81"/>
            <rFont val="Segoe UI"/>
            <family val="2"/>
          </rPr>
          <t>4 KT / 4 Sch - 13.05.18</t>
        </r>
      </text>
    </comment>
    <comment ref="AT22" authorId="0" shapeId="0" xr:uid="{00000000-0006-0000-0100-000026010000}">
      <text>
        <r>
          <rPr>
            <sz val="8"/>
            <color indexed="81"/>
            <rFont val="Segoe UI"/>
            <family val="2"/>
          </rPr>
          <t>4 KT / 4 Sch - 13.05.18</t>
        </r>
      </text>
    </comment>
    <comment ref="BX22" authorId="0" shapeId="0" xr:uid="{00000000-0006-0000-0100-000027010000}">
      <text>
        <r>
          <rPr>
            <sz val="8"/>
            <color indexed="81"/>
            <rFont val="Segoe UI"/>
            <family val="2"/>
          </rPr>
          <t>3. Zug</t>
        </r>
      </text>
    </comment>
    <comment ref="J23" authorId="0" shapeId="0" xr:uid="{00000000-0006-0000-0100-000028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K23" authorId="0" shapeId="0" xr:uid="{00000000-0006-0000-0100-000029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L23" authorId="0" shapeId="0" xr:uid="{00000000-0006-0000-0100-00002A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M23" authorId="0" shapeId="0" xr:uid="{00000000-0006-0000-0100-00002B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N23" authorId="0" shapeId="0" xr:uid="{00000000-0006-0000-0100-00002C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O23" authorId="0" shapeId="0" xr:uid="{00000000-0006-0000-0100-00002D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P23" authorId="0" shapeId="0" xr:uid="{00000000-0006-0000-0100-00002E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Q23" authorId="0" shapeId="0" xr:uid="{00000000-0006-0000-0100-00002F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R23" authorId="0" shapeId="0" xr:uid="{00000000-0006-0000-0100-000030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S23" authorId="0" shapeId="0" xr:uid="{00000000-0006-0000-0100-000031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T23" authorId="0" shapeId="0" xr:uid="{00000000-0006-0000-0100-000032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U23" authorId="0" shapeId="0" xr:uid="{00000000-0006-0000-0100-000033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V23" authorId="0" shapeId="0" xr:uid="{00000000-0006-0000-0100-000034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W23" authorId="0" shapeId="0" xr:uid="{00000000-0006-0000-0100-000035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X23" authorId="0" shapeId="0" xr:uid="{00000000-0006-0000-0100-000036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Y23" authorId="0" shapeId="0" xr:uid="{00000000-0006-0000-0100-000037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Z23" authorId="0" shapeId="0" xr:uid="{00000000-0006-0000-0100-000038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AA23" authorId="0" shapeId="0" xr:uid="{00000000-0006-0000-0100-000039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AB23" authorId="0" shapeId="0" xr:uid="{00000000-0006-0000-0100-00003A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AC23" authorId="0" shapeId="0" xr:uid="{00000000-0006-0000-0100-00003B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AD23" authorId="0" shapeId="0" xr:uid="{00000000-0006-0000-0100-00003C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AE23" authorId="0" shapeId="0" xr:uid="{00000000-0006-0000-0100-00003D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AF23" authorId="0" shapeId="0" xr:uid="{00000000-0006-0000-0100-00003E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AG23" authorId="0" shapeId="0" xr:uid="{00000000-0006-0000-0100-00003F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AH23" authorId="0" shapeId="0" xr:uid="{00000000-0006-0000-0100-000040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AI23" authorId="0" shapeId="0" xr:uid="{00000000-0006-0000-0100-000041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AJ23" authorId="0" shapeId="0" xr:uid="{00000000-0006-0000-0100-000042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AK23" authorId="0" shapeId="0" xr:uid="{00000000-0006-0000-0100-000043010000}">
      <text>
        <r>
          <rPr>
            <sz val="8"/>
            <color indexed="81"/>
            <rFont val="Segoe UI"/>
            <family val="2"/>
          </rPr>
          <t>28 KT / 16 Sch - 04.05.18</t>
        </r>
      </text>
    </comment>
    <comment ref="D24" authorId="0" shapeId="0" xr:uid="{00000000-0006-0000-0100-000044010000}">
      <text>
        <r>
          <rPr>
            <sz val="8"/>
            <color indexed="81"/>
            <rFont val="Segoe UI"/>
            <family val="2"/>
          </rPr>
          <t>Tabo - Lhg</t>
        </r>
      </text>
    </comment>
    <comment ref="E24" authorId="0" shapeId="0" xr:uid="{00000000-0006-0000-0100-000045010000}">
      <text>
        <r>
          <rPr>
            <sz val="8"/>
            <color indexed="81"/>
            <rFont val="Segoe UI"/>
            <family val="2"/>
          </rPr>
          <t>Tabo - Lhg</t>
        </r>
      </text>
    </comment>
    <comment ref="F24" authorId="0" shapeId="0" xr:uid="{00000000-0006-0000-0100-000046010000}">
      <text>
        <r>
          <rPr>
            <sz val="8"/>
            <color indexed="81"/>
            <rFont val="Segoe UI"/>
            <family val="2"/>
          </rPr>
          <t>Tabo - Lhg</t>
        </r>
      </text>
    </comment>
    <comment ref="G24" authorId="0" shapeId="0" xr:uid="{00000000-0006-0000-0100-000047010000}">
      <text>
        <r>
          <rPr>
            <sz val="8"/>
            <color indexed="81"/>
            <rFont val="Segoe UI"/>
            <family val="2"/>
          </rPr>
          <t>Tabo - Lhg</t>
        </r>
      </text>
    </comment>
    <comment ref="H24" authorId="0" shapeId="0" xr:uid="{00000000-0006-0000-0100-000048010000}">
      <text>
        <r>
          <rPr>
            <sz val="8"/>
            <color indexed="81"/>
            <rFont val="Segoe UI"/>
            <family val="2"/>
          </rPr>
          <t>Tabo - Lhg</t>
        </r>
      </text>
    </comment>
    <comment ref="I24" authorId="0" shapeId="0" xr:uid="{00000000-0006-0000-0100-000049010000}">
      <text>
        <r>
          <rPr>
            <sz val="8"/>
            <color indexed="81"/>
            <rFont val="Segoe UI"/>
            <family val="2"/>
          </rPr>
          <t>Tabo - Lhg</t>
        </r>
      </text>
    </comment>
    <comment ref="J24" authorId="0" shapeId="0" xr:uid="{00000000-0006-0000-0100-00004A010000}">
      <text>
        <r>
          <rPr>
            <sz val="8"/>
            <color indexed="81"/>
            <rFont val="Segoe UI"/>
            <family val="2"/>
          </rPr>
          <t>Tabo - Lhg</t>
        </r>
      </text>
    </comment>
    <comment ref="K24" authorId="0" shapeId="0" xr:uid="{00000000-0006-0000-0100-00004B010000}">
      <text>
        <r>
          <rPr>
            <sz val="8"/>
            <color indexed="81"/>
            <rFont val="Segoe UI"/>
            <family val="2"/>
          </rPr>
          <t>Tabo - Lhg</t>
        </r>
      </text>
    </comment>
    <comment ref="L24" authorId="0" shapeId="0" xr:uid="{00000000-0006-0000-0100-00004C010000}">
      <text>
        <r>
          <rPr>
            <sz val="8"/>
            <color indexed="81"/>
            <rFont val="Segoe UI"/>
            <family val="2"/>
          </rPr>
          <t>Tabo - Lhg</t>
        </r>
      </text>
    </comment>
    <comment ref="M24" authorId="0" shapeId="0" xr:uid="{00000000-0006-0000-0100-00004D010000}">
      <text>
        <r>
          <rPr>
            <sz val="8"/>
            <color indexed="81"/>
            <rFont val="Segoe UI"/>
            <family val="2"/>
          </rPr>
          <t>Tabo - Lhg</t>
        </r>
      </text>
    </comment>
    <comment ref="N24" authorId="0" shapeId="0" xr:uid="{00000000-0006-0000-0100-00004E010000}">
      <text>
        <r>
          <rPr>
            <sz val="8"/>
            <color indexed="81"/>
            <rFont val="Segoe UI"/>
            <family val="2"/>
          </rPr>
          <t>Tabo - Lhg</t>
        </r>
      </text>
    </comment>
    <comment ref="O24" authorId="0" shapeId="0" xr:uid="{00000000-0006-0000-0100-00004F010000}">
      <text>
        <r>
          <rPr>
            <sz val="8"/>
            <color indexed="81"/>
            <rFont val="Segoe UI"/>
            <family val="2"/>
          </rPr>
          <t>Tabo - Lhg</t>
        </r>
      </text>
    </comment>
    <comment ref="P24" authorId="0" shapeId="0" xr:uid="{00000000-0006-0000-0100-000050010000}">
      <text>
        <r>
          <rPr>
            <sz val="8"/>
            <color indexed="81"/>
            <rFont val="Segoe UI"/>
            <family val="2"/>
          </rPr>
          <t>Tabo - Lhg</t>
        </r>
      </text>
    </comment>
    <comment ref="Q24" authorId="0" shapeId="0" xr:uid="{00000000-0006-0000-0100-000051010000}">
      <text>
        <r>
          <rPr>
            <sz val="8"/>
            <color indexed="81"/>
            <rFont val="Segoe UI"/>
            <family val="2"/>
          </rPr>
          <t>Tabo - Lhg</t>
        </r>
      </text>
    </comment>
    <comment ref="R24" authorId="0" shapeId="0" xr:uid="{00000000-0006-0000-0100-000052010000}">
      <text>
        <r>
          <rPr>
            <sz val="8"/>
            <color indexed="81"/>
            <rFont val="Segoe UI"/>
            <family val="2"/>
          </rPr>
          <t>Tabo - Lhg</t>
        </r>
      </text>
    </comment>
    <comment ref="T24" authorId="0" shapeId="0" xr:uid="{00000000-0006-0000-0100-000053010000}">
      <text>
        <r>
          <rPr>
            <sz val="8"/>
            <color indexed="81"/>
            <rFont val="Segoe UI"/>
            <family val="2"/>
          </rPr>
          <t>1</t>
        </r>
      </text>
    </comment>
    <comment ref="BN24" authorId="0" shapeId="0" xr:uid="{00000000-0006-0000-0100-000054010000}">
      <text>
        <r>
          <rPr>
            <sz val="8"/>
            <color indexed="81"/>
            <rFont val="Segoe UI"/>
            <family val="2"/>
          </rPr>
          <t>§ 12 a / 2017</t>
        </r>
      </text>
    </comment>
    <comment ref="BO24" authorId="0" shapeId="0" xr:uid="{00000000-0006-0000-0100-000055010000}">
      <text>
        <r>
          <rPr>
            <sz val="8"/>
            <color indexed="81"/>
            <rFont val="Segoe UI"/>
            <family val="2"/>
          </rPr>
          <t>§ 12 a / 2017</t>
        </r>
      </text>
    </comment>
    <comment ref="BP24" authorId="0" shapeId="0" xr:uid="{00000000-0006-0000-0100-000056010000}">
      <text>
        <r>
          <rPr>
            <sz val="8"/>
            <color indexed="81"/>
            <rFont val="Segoe UI"/>
            <family val="2"/>
          </rPr>
          <t>26 KT / 14 Sch - 29.06.18</t>
        </r>
      </text>
    </comment>
    <comment ref="BQ24" authorId="0" shapeId="0" xr:uid="{00000000-0006-0000-0100-000057010000}">
      <text>
        <r>
          <rPr>
            <sz val="8"/>
            <color indexed="81"/>
            <rFont val="Segoe UI"/>
            <family val="2"/>
          </rPr>
          <t>26 KT / 14 Sch - 29.06.18</t>
        </r>
      </text>
    </comment>
    <comment ref="BR24" authorId="0" shapeId="0" xr:uid="{00000000-0006-0000-0100-000058010000}">
      <text>
        <r>
          <rPr>
            <sz val="8"/>
            <color indexed="81"/>
            <rFont val="Segoe UI"/>
            <family val="2"/>
          </rPr>
          <t>26 KT / 14 Sch - 29.06.18</t>
        </r>
      </text>
    </comment>
    <comment ref="BS24" authorId="0" shapeId="0" xr:uid="{00000000-0006-0000-0100-000059010000}">
      <text>
        <r>
          <rPr>
            <sz val="8"/>
            <color indexed="81"/>
            <rFont val="Segoe UI"/>
            <family val="2"/>
          </rPr>
          <t>26 KT / 14 Sch - 29.06.18</t>
        </r>
      </text>
    </comment>
    <comment ref="BT24" authorId="0" shapeId="0" xr:uid="{00000000-0006-0000-0100-00005A010000}">
      <text>
        <r>
          <rPr>
            <sz val="8"/>
            <color indexed="81"/>
            <rFont val="Segoe UI"/>
            <family val="2"/>
          </rPr>
          <t>26 KT / 14 Sch - 29.06.18</t>
        </r>
      </text>
    </comment>
    <comment ref="BU24" authorId="0" shapeId="0" xr:uid="{00000000-0006-0000-0100-00005B010000}">
      <text>
        <r>
          <rPr>
            <sz val="8"/>
            <color indexed="81"/>
            <rFont val="Segoe UI"/>
            <family val="2"/>
          </rPr>
          <t>26 KT / 14 Sch - 29.06.18</t>
        </r>
      </text>
    </comment>
    <comment ref="BV24" authorId="0" shapeId="0" xr:uid="{00000000-0006-0000-0100-00005C010000}">
      <text>
        <r>
          <rPr>
            <sz val="8"/>
            <color indexed="81"/>
            <rFont val="Segoe UI"/>
            <family val="2"/>
          </rPr>
          <t>26 KT / 14 Sch - 29.06.18</t>
        </r>
      </text>
    </comment>
    <comment ref="BW24" authorId="0" shapeId="0" xr:uid="{00000000-0006-0000-0100-00005D010000}">
      <text>
        <r>
          <rPr>
            <sz val="8"/>
            <color indexed="81"/>
            <rFont val="Segoe UI"/>
            <family val="2"/>
          </rPr>
          <t>26 KT / 14 Sch - 29.06.18</t>
        </r>
      </text>
    </comment>
    <comment ref="BX24" authorId="0" shapeId="0" xr:uid="{00000000-0006-0000-0100-00005E010000}">
      <text>
        <r>
          <rPr>
            <sz val="8"/>
            <color indexed="81"/>
            <rFont val="Segoe UI"/>
            <family val="2"/>
          </rPr>
          <t>26 KT / 14 Sch - 29.06.18</t>
        </r>
      </text>
    </comment>
    <comment ref="BY24" authorId="0" shapeId="0" xr:uid="{00000000-0006-0000-0100-00005F010000}">
      <text>
        <r>
          <rPr>
            <sz val="8"/>
            <color indexed="81"/>
            <rFont val="Segoe UI"/>
            <family val="2"/>
          </rPr>
          <t>26 KT / 14 Sch - 29.06.18</t>
        </r>
      </text>
    </comment>
    <comment ref="BZ24" authorId="0" shapeId="0" xr:uid="{00000000-0006-0000-0100-000060010000}">
      <text>
        <r>
          <rPr>
            <sz val="8"/>
            <color indexed="81"/>
            <rFont val="Segoe UI"/>
            <family val="2"/>
          </rPr>
          <t>26 KT / 14 Sch - 29.06.18</t>
        </r>
      </text>
    </comment>
    <comment ref="CA24" authorId="0" shapeId="0" xr:uid="{00000000-0006-0000-0100-000061010000}">
      <text>
        <r>
          <rPr>
            <sz val="8"/>
            <color indexed="81"/>
            <rFont val="Segoe UI"/>
            <family val="2"/>
          </rPr>
          <t>26 KT / 14 Sch - 29.06.18</t>
        </r>
      </text>
    </comment>
    <comment ref="CB24" authorId="0" shapeId="0" xr:uid="{00000000-0006-0000-0100-000062010000}">
      <text>
        <r>
          <rPr>
            <sz val="8"/>
            <color indexed="81"/>
            <rFont val="Segoe UI"/>
            <family val="2"/>
          </rPr>
          <t>26 KT / 14 Sch - 29.06.18</t>
        </r>
      </text>
    </comment>
    <comment ref="CC24" authorId="0" shapeId="0" xr:uid="{00000000-0006-0000-0100-000063010000}">
      <text>
        <r>
          <rPr>
            <sz val="8"/>
            <color indexed="81"/>
            <rFont val="Segoe UI"/>
            <family val="2"/>
          </rPr>
          <t>26 KT / 14 Sch - 29.06.18</t>
        </r>
      </text>
    </comment>
    <comment ref="CD24" authorId="0" shapeId="0" xr:uid="{00000000-0006-0000-0100-000064010000}">
      <text>
        <r>
          <rPr>
            <sz val="8"/>
            <color indexed="81"/>
            <rFont val="Segoe UI"/>
            <family val="2"/>
          </rPr>
          <t>26 KT / 14 Sch - 29.06.18</t>
        </r>
      </text>
    </comment>
    <comment ref="CE24" authorId="0" shapeId="0" xr:uid="{00000000-0006-0000-0100-000065010000}">
      <text>
        <r>
          <rPr>
            <sz val="8"/>
            <color indexed="81"/>
            <rFont val="Segoe UI"/>
            <family val="2"/>
          </rPr>
          <t>26 KT / 14 Sch - 29.06.18</t>
        </r>
      </text>
    </comment>
    <comment ref="CF24" authorId="0" shapeId="0" xr:uid="{00000000-0006-0000-0100-000066010000}">
      <text>
        <r>
          <rPr>
            <sz val="8"/>
            <color indexed="81"/>
            <rFont val="Segoe UI"/>
            <family val="2"/>
          </rPr>
          <t>26 KT / 14 Sch - 29.06.18</t>
        </r>
      </text>
    </comment>
    <comment ref="CG24" authorId="0" shapeId="0" xr:uid="{00000000-0006-0000-0100-000067010000}">
      <text>
        <r>
          <rPr>
            <sz val="8"/>
            <color indexed="81"/>
            <rFont val="Segoe UI"/>
            <family val="2"/>
          </rPr>
          <t>26 KT / 14 Sch - 29.06.18</t>
        </r>
      </text>
    </comment>
    <comment ref="CH24" authorId="0" shapeId="0" xr:uid="{00000000-0006-0000-0100-000068010000}">
      <text>
        <r>
          <rPr>
            <sz val="8"/>
            <color indexed="81"/>
            <rFont val="Segoe UI"/>
            <family val="2"/>
          </rPr>
          <t>26 KT / 14 Sch - 29.06.18</t>
        </r>
      </text>
    </comment>
    <comment ref="CI24" authorId="0" shapeId="0" xr:uid="{00000000-0006-0000-0100-000069010000}">
      <text>
        <r>
          <rPr>
            <sz val="8"/>
            <color indexed="81"/>
            <rFont val="Segoe UI"/>
            <family val="2"/>
          </rPr>
          <t>26 KT / 14 Sch - 29.06.18</t>
        </r>
      </text>
    </comment>
    <comment ref="CJ24" authorId="0" shapeId="0" xr:uid="{00000000-0006-0000-0100-00006A010000}">
      <text>
        <r>
          <rPr>
            <sz val="8"/>
            <color indexed="81"/>
            <rFont val="Segoe UI"/>
            <family val="2"/>
          </rPr>
          <t>26 KT / 14 Sch - 29.06.18</t>
        </r>
      </text>
    </comment>
    <comment ref="CK24" authorId="0" shapeId="0" xr:uid="{00000000-0006-0000-0100-00006B010000}">
      <text>
        <r>
          <rPr>
            <sz val="8"/>
            <color indexed="81"/>
            <rFont val="Segoe UI"/>
            <family val="2"/>
          </rPr>
          <t>26 KT / 14 Sch - 29.06.18</t>
        </r>
      </text>
    </comment>
    <comment ref="CL24" authorId="0" shapeId="0" xr:uid="{00000000-0006-0000-0100-00006C010000}">
      <text>
        <r>
          <rPr>
            <sz val="8"/>
            <color indexed="81"/>
            <rFont val="Segoe UI"/>
            <family val="2"/>
          </rPr>
          <t>26 KT / 14 Sch - 29.06.18</t>
        </r>
      </text>
    </comment>
    <comment ref="CM24" authorId="0" shapeId="0" xr:uid="{00000000-0006-0000-0100-00006D010000}">
      <text>
        <r>
          <rPr>
            <sz val="8"/>
            <color indexed="81"/>
            <rFont val="Segoe UI"/>
            <family val="2"/>
          </rPr>
          <t>26 KT / 14 Sch - 29.06.18</t>
        </r>
      </text>
    </comment>
    <comment ref="CN24" authorId="0" shapeId="0" xr:uid="{00000000-0006-0000-0100-00006E010000}">
      <text>
        <r>
          <rPr>
            <sz val="8"/>
            <color indexed="81"/>
            <rFont val="Segoe UI"/>
            <family val="2"/>
          </rPr>
          <t>26 KT / 14 Sch - 29.06.18</t>
        </r>
      </text>
    </comment>
    <comment ref="CO24" authorId="0" shapeId="0" xr:uid="{00000000-0006-0000-0100-00006F010000}">
      <text>
        <r>
          <rPr>
            <sz val="8"/>
            <color indexed="81"/>
            <rFont val="Segoe UI"/>
            <family val="2"/>
          </rPr>
          <t>26 KT / 14 Sch - 29.06.18</t>
        </r>
      </text>
    </comment>
    <comment ref="D25" authorId="0" shapeId="0" xr:uid="{00000000-0006-0000-0100-000070010000}">
      <text>
        <r>
          <rPr>
            <sz val="8"/>
            <color indexed="81"/>
            <rFont val="Segoe UI"/>
            <family val="2"/>
          </rPr>
          <t>BvkD</t>
        </r>
      </text>
    </comment>
    <comment ref="E25" authorId="0" shapeId="0" xr:uid="{00000000-0006-0000-0100-000071010000}">
      <text>
        <r>
          <rPr>
            <sz val="8"/>
            <color indexed="81"/>
            <rFont val="Segoe UI"/>
            <family val="2"/>
          </rPr>
          <t>BvkD</t>
        </r>
      </text>
    </comment>
    <comment ref="F25" authorId="0" shapeId="0" xr:uid="{00000000-0006-0000-0100-000072010000}">
      <text>
        <r>
          <rPr>
            <sz val="8"/>
            <color indexed="81"/>
            <rFont val="Segoe UI"/>
            <family val="2"/>
          </rPr>
          <t>BvkD</t>
        </r>
      </text>
    </comment>
    <comment ref="G25" authorId="0" shapeId="0" xr:uid="{00000000-0006-0000-0100-000073010000}">
      <text>
        <r>
          <rPr>
            <sz val="8"/>
            <color indexed="81"/>
            <rFont val="Segoe UI"/>
            <family val="2"/>
          </rPr>
          <t>BvkD</t>
        </r>
      </text>
    </comment>
    <comment ref="H25" authorId="0" shapeId="0" xr:uid="{00000000-0006-0000-0100-000074010000}">
      <text>
        <r>
          <rPr>
            <sz val="8"/>
            <color indexed="81"/>
            <rFont val="Segoe UI"/>
            <family val="2"/>
          </rPr>
          <t>BvkD</t>
        </r>
      </text>
    </comment>
    <comment ref="I25" authorId="0" shapeId="0" xr:uid="{00000000-0006-0000-0100-000075010000}">
      <text>
        <r>
          <rPr>
            <sz val="8"/>
            <color indexed="81"/>
            <rFont val="Segoe UI"/>
            <family val="2"/>
          </rPr>
          <t>BvkD</t>
        </r>
      </text>
    </comment>
    <comment ref="BG25" authorId="0" shapeId="0" xr:uid="{00000000-0006-0000-0100-000076010000}">
      <text>
        <r>
          <rPr>
            <sz val="8"/>
            <color indexed="81"/>
            <rFont val="Segoe UI"/>
            <family val="2"/>
          </rPr>
          <t>19 KT / 12 Sch - 13.06.18</t>
        </r>
      </text>
    </comment>
    <comment ref="BH25" authorId="0" shapeId="0" xr:uid="{00000000-0006-0000-0100-000077010000}">
      <text>
        <r>
          <rPr>
            <sz val="8"/>
            <color indexed="81"/>
            <rFont val="Segoe UI"/>
            <family val="2"/>
          </rPr>
          <t>19 KT / 12 Sch - 13.06.18</t>
        </r>
      </text>
    </comment>
    <comment ref="BI25" authorId="0" shapeId="0" xr:uid="{00000000-0006-0000-0100-000078010000}">
      <text>
        <r>
          <rPr>
            <sz val="8"/>
            <color indexed="81"/>
            <rFont val="Segoe UI"/>
            <family val="2"/>
          </rPr>
          <t>19 KT / 12 Sch - 13.06.18</t>
        </r>
      </text>
    </comment>
    <comment ref="BJ25" authorId="0" shapeId="0" xr:uid="{00000000-0006-0000-0100-000079010000}">
      <text>
        <r>
          <rPr>
            <sz val="8"/>
            <color indexed="81"/>
            <rFont val="Segoe UI"/>
            <family val="2"/>
          </rPr>
          <t>19 KT / 12 Sch - 13.06.18</t>
        </r>
      </text>
    </comment>
    <comment ref="BK25" authorId="0" shapeId="0" xr:uid="{00000000-0006-0000-0100-00007A010000}">
      <text>
        <r>
          <rPr>
            <sz val="8"/>
            <color indexed="81"/>
            <rFont val="Segoe UI"/>
            <family val="2"/>
          </rPr>
          <t>19 KT / 12 Sch - 13.06.18</t>
        </r>
      </text>
    </comment>
    <comment ref="BL25" authorId="0" shapeId="0" xr:uid="{00000000-0006-0000-0100-00007B010000}">
      <text>
        <r>
          <rPr>
            <sz val="8"/>
            <color indexed="81"/>
            <rFont val="Segoe UI"/>
            <family val="2"/>
          </rPr>
          <t>19 KT / 12 Sch - 13.06.18</t>
        </r>
      </text>
    </comment>
    <comment ref="BM25" authorId="0" shapeId="0" xr:uid="{00000000-0006-0000-0100-00007C010000}">
      <text>
        <r>
          <rPr>
            <sz val="8"/>
            <color indexed="81"/>
            <rFont val="Segoe UI"/>
            <family val="2"/>
          </rPr>
          <t>19 KT / 12 Sch - 13.06.18</t>
        </r>
      </text>
    </comment>
    <comment ref="BN25" authorId="0" shapeId="0" xr:uid="{00000000-0006-0000-0100-00007D010000}">
      <text>
        <r>
          <rPr>
            <sz val="8"/>
            <color indexed="81"/>
            <rFont val="Segoe UI"/>
            <family val="2"/>
          </rPr>
          <t>19 KT / 12 Sch - 13.06.18</t>
        </r>
      </text>
    </comment>
    <comment ref="BO25" authorId="0" shapeId="0" xr:uid="{00000000-0006-0000-0100-00007E010000}">
      <text>
        <r>
          <rPr>
            <sz val="8"/>
            <color indexed="81"/>
            <rFont val="Segoe UI"/>
            <family val="2"/>
          </rPr>
          <t>19 KT / 12 Sch - 13.06.18</t>
        </r>
      </text>
    </comment>
    <comment ref="BP25" authorId="0" shapeId="0" xr:uid="{00000000-0006-0000-0100-00007F010000}">
      <text>
        <r>
          <rPr>
            <sz val="8"/>
            <color indexed="81"/>
            <rFont val="Segoe UI"/>
            <family val="2"/>
          </rPr>
          <t>19 KT / 12 Sch - 13.06.18</t>
        </r>
      </text>
    </comment>
    <comment ref="BQ25" authorId="0" shapeId="0" xr:uid="{00000000-0006-0000-0100-000080010000}">
      <text>
        <r>
          <rPr>
            <sz val="8"/>
            <color indexed="81"/>
            <rFont val="Segoe UI"/>
            <family val="2"/>
          </rPr>
          <t>19 KT / 12 Sch - 13.06.18</t>
        </r>
      </text>
    </comment>
    <comment ref="BR25" authorId="0" shapeId="0" xr:uid="{00000000-0006-0000-0100-000081010000}">
      <text>
        <r>
          <rPr>
            <sz val="8"/>
            <color indexed="81"/>
            <rFont val="Segoe UI"/>
            <family val="2"/>
          </rPr>
          <t>19 KT / 12 Sch - 13.06.18</t>
        </r>
      </text>
    </comment>
    <comment ref="BS25" authorId="0" shapeId="0" xr:uid="{00000000-0006-0000-0100-000082010000}">
      <text>
        <r>
          <rPr>
            <sz val="8"/>
            <color indexed="81"/>
            <rFont val="Segoe UI"/>
            <family val="2"/>
          </rPr>
          <t>19 KT / 12 Sch - 13.06.18</t>
        </r>
      </text>
    </comment>
    <comment ref="BT25" authorId="0" shapeId="0" xr:uid="{00000000-0006-0000-0100-000083010000}">
      <text>
        <r>
          <rPr>
            <sz val="8"/>
            <color indexed="81"/>
            <rFont val="Segoe UI"/>
            <family val="2"/>
          </rPr>
          <t>19 KT / 12 Sch - 13.06.18</t>
        </r>
      </text>
    </comment>
    <comment ref="BU25" authorId="0" shapeId="0" xr:uid="{00000000-0006-0000-0100-000084010000}">
      <text>
        <r>
          <rPr>
            <sz val="8"/>
            <color indexed="81"/>
            <rFont val="Segoe UI"/>
            <family val="2"/>
          </rPr>
          <t>19 KT / 12 Sch - 13.06.18</t>
        </r>
      </text>
    </comment>
    <comment ref="BV25" authorId="0" shapeId="0" xr:uid="{00000000-0006-0000-0100-000085010000}">
      <text>
        <r>
          <rPr>
            <sz val="8"/>
            <color indexed="81"/>
            <rFont val="Segoe UI"/>
            <family val="2"/>
          </rPr>
          <t>19 KT / 12 Sch - 13.06.18</t>
        </r>
      </text>
    </comment>
    <comment ref="BW25" authorId="0" shapeId="0" xr:uid="{00000000-0006-0000-0100-000086010000}">
      <text>
        <r>
          <rPr>
            <sz val="8"/>
            <color indexed="81"/>
            <rFont val="Segoe UI"/>
            <family val="2"/>
          </rPr>
          <t>19 KT / 12 Sch - 13.06.18</t>
        </r>
      </text>
    </comment>
    <comment ref="BX25" authorId="0" shapeId="0" xr:uid="{00000000-0006-0000-0100-000087010000}">
      <text>
        <r>
          <rPr>
            <sz val="8"/>
            <color indexed="81"/>
            <rFont val="Segoe UI"/>
            <family val="2"/>
          </rPr>
          <t>19 KT / 12 Sch - 13.06.18</t>
        </r>
      </text>
    </comment>
    <comment ref="BY25" authorId="0" shapeId="0" xr:uid="{00000000-0006-0000-0100-000088010000}">
      <text>
        <r>
          <rPr>
            <sz val="8"/>
            <color indexed="81"/>
            <rFont val="Segoe UI"/>
            <family val="2"/>
          </rPr>
          <t>19 KT / 12 Sch - 13.06.18</t>
        </r>
      </text>
    </comment>
    <comment ref="AA26" authorId="0" shapeId="0" xr:uid="{00000000-0006-0000-0100-000089010000}">
      <text>
        <r>
          <rPr>
            <sz val="8"/>
            <color indexed="81"/>
            <rFont val="Segoe UI"/>
            <family val="2"/>
          </rPr>
          <t>3 KT / 3 Sch - 26.04.18</t>
        </r>
      </text>
    </comment>
    <comment ref="AB26" authorId="0" shapeId="0" xr:uid="{00000000-0006-0000-0100-00008A010000}">
      <text>
        <r>
          <rPr>
            <sz val="8"/>
            <color indexed="81"/>
            <rFont val="Segoe UI"/>
            <family val="2"/>
          </rPr>
          <t>3 KT / 3 Sch - 26.04.18</t>
        </r>
      </text>
    </comment>
    <comment ref="AC26" authorId="0" shapeId="0" xr:uid="{00000000-0006-0000-0100-00008B010000}">
      <text>
        <r>
          <rPr>
            <sz val="8"/>
            <color indexed="81"/>
            <rFont val="Segoe UI"/>
            <family val="2"/>
          </rPr>
          <t>3 KT / 3 Sch - 26.04.18</t>
        </r>
      </text>
    </comment>
    <comment ref="AJ26" authorId="0" shapeId="0" xr:uid="{00000000-0006-0000-0100-00008C010000}">
      <text>
        <r>
          <rPr>
            <sz val="8"/>
            <color indexed="81"/>
            <rFont val="Segoe UI"/>
            <family val="2"/>
          </rPr>
          <t>26 KT / 15 Sch - 28.05.18</t>
        </r>
      </text>
    </comment>
    <comment ref="AK26" authorId="0" shapeId="0" xr:uid="{00000000-0006-0000-0100-00008D010000}">
      <text>
        <r>
          <rPr>
            <sz val="8"/>
            <color indexed="81"/>
            <rFont val="Segoe UI"/>
            <family val="2"/>
          </rPr>
          <t>26 KT / 15 Sch - 28.05.18</t>
        </r>
      </text>
    </comment>
    <comment ref="AL26" authorId="0" shapeId="0" xr:uid="{00000000-0006-0000-0100-00008E010000}">
      <text>
        <r>
          <rPr>
            <sz val="8"/>
            <color indexed="81"/>
            <rFont val="Segoe UI"/>
            <family val="2"/>
          </rPr>
          <t>26 KT / 15 Sch - 28.05.18</t>
        </r>
      </text>
    </comment>
    <comment ref="AM26" authorId="0" shapeId="0" xr:uid="{00000000-0006-0000-0100-00008F010000}">
      <text>
        <r>
          <rPr>
            <sz val="8"/>
            <color indexed="81"/>
            <rFont val="Segoe UI"/>
            <family val="2"/>
          </rPr>
          <t>26 KT / 15 Sch - 28.05.18</t>
        </r>
      </text>
    </comment>
    <comment ref="AN26" authorId="0" shapeId="0" xr:uid="{00000000-0006-0000-0100-000090010000}">
      <text>
        <r>
          <rPr>
            <sz val="8"/>
            <color indexed="81"/>
            <rFont val="Segoe UI"/>
            <family val="2"/>
          </rPr>
          <t>26 KT / 15 Sch - 28.05.18</t>
        </r>
      </text>
    </comment>
    <comment ref="AO26" authorId="0" shapeId="0" xr:uid="{00000000-0006-0000-0100-000091010000}">
      <text>
        <r>
          <rPr>
            <sz val="8"/>
            <color indexed="81"/>
            <rFont val="Segoe UI"/>
            <family val="2"/>
          </rPr>
          <t>26 KT / 15 Sch - 28.05.18</t>
        </r>
      </text>
    </comment>
    <comment ref="AP26" authorId="0" shapeId="0" xr:uid="{00000000-0006-0000-0100-000092010000}">
      <text>
        <r>
          <rPr>
            <sz val="8"/>
            <color indexed="81"/>
            <rFont val="Segoe UI"/>
            <family val="2"/>
          </rPr>
          <t>26 KT / 15 Sch - 28.05.18</t>
        </r>
      </text>
    </comment>
    <comment ref="AQ26" authorId="0" shapeId="0" xr:uid="{00000000-0006-0000-0100-000093010000}">
      <text>
        <r>
          <rPr>
            <sz val="8"/>
            <color indexed="81"/>
            <rFont val="Segoe UI"/>
            <family val="2"/>
          </rPr>
          <t>26 KT / 15 Sch - 28.05.18</t>
        </r>
      </text>
    </comment>
    <comment ref="AR26" authorId="0" shapeId="0" xr:uid="{00000000-0006-0000-0100-000094010000}">
      <text>
        <r>
          <rPr>
            <sz val="8"/>
            <color indexed="81"/>
            <rFont val="Segoe UI"/>
            <family val="2"/>
          </rPr>
          <t>26 KT / 15 Sch - 28.05.18</t>
        </r>
      </text>
    </comment>
    <comment ref="AS26" authorId="0" shapeId="0" xr:uid="{00000000-0006-0000-0100-000095010000}">
      <text>
        <r>
          <rPr>
            <sz val="8"/>
            <color indexed="81"/>
            <rFont val="Segoe UI"/>
            <family val="2"/>
          </rPr>
          <t>26 KT / 15 Sch - 28.05.18</t>
        </r>
      </text>
    </comment>
    <comment ref="AT26" authorId="0" shapeId="0" xr:uid="{00000000-0006-0000-0100-000096010000}">
      <text>
        <r>
          <rPr>
            <sz val="8"/>
            <color indexed="81"/>
            <rFont val="Segoe UI"/>
            <family val="2"/>
          </rPr>
          <t>26 KT / 15 Sch - 28.05.18</t>
        </r>
      </text>
    </comment>
    <comment ref="AU26" authorId="0" shapeId="0" xr:uid="{00000000-0006-0000-0100-000097010000}">
      <text>
        <r>
          <rPr>
            <sz val="8"/>
            <color indexed="81"/>
            <rFont val="Segoe UI"/>
            <family val="2"/>
          </rPr>
          <t>26 KT / 15 Sch - 28.05.18</t>
        </r>
      </text>
    </comment>
    <comment ref="AV26" authorId="0" shapeId="0" xr:uid="{00000000-0006-0000-0100-000098010000}">
      <text>
        <r>
          <rPr>
            <sz val="8"/>
            <color indexed="81"/>
            <rFont val="Segoe UI"/>
            <family val="2"/>
          </rPr>
          <t>26 KT / 15 Sch - 28.05.18</t>
        </r>
      </text>
    </comment>
    <comment ref="AW26" authorId="0" shapeId="0" xr:uid="{00000000-0006-0000-0100-000099010000}">
      <text>
        <r>
          <rPr>
            <sz val="8"/>
            <color indexed="81"/>
            <rFont val="Segoe UI"/>
            <family val="2"/>
          </rPr>
          <t>26 KT / 15 Sch - 28.05.18</t>
        </r>
      </text>
    </comment>
    <comment ref="AX26" authorId="0" shapeId="0" xr:uid="{00000000-0006-0000-0100-00009A010000}">
      <text>
        <r>
          <rPr>
            <sz val="8"/>
            <color indexed="81"/>
            <rFont val="Segoe UI"/>
            <family val="2"/>
          </rPr>
          <t>26 KT / 15 Sch - 28.05.18</t>
        </r>
      </text>
    </comment>
    <comment ref="AY26" authorId="0" shapeId="0" xr:uid="{00000000-0006-0000-0100-00009B010000}">
      <text>
        <r>
          <rPr>
            <sz val="8"/>
            <color indexed="81"/>
            <rFont val="Segoe UI"/>
            <family val="2"/>
          </rPr>
          <t>26 KT / 15 Sch - 28.05.18</t>
        </r>
      </text>
    </comment>
    <comment ref="AZ26" authorId="0" shapeId="0" xr:uid="{00000000-0006-0000-0100-00009C010000}">
      <text>
        <r>
          <rPr>
            <sz val="8"/>
            <color indexed="81"/>
            <rFont val="Segoe UI"/>
            <family val="2"/>
          </rPr>
          <t>26 KT / 15 Sch - 28.05.18</t>
        </r>
      </text>
    </comment>
    <comment ref="BA26" authorId="0" shapeId="0" xr:uid="{00000000-0006-0000-0100-00009D010000}">
      <text>
        <r>
          <rPr>
            <sz val="8"/>
            <color indexed="81"/>
            <rFont val="Segoe UI"/>
            <family val="2"/>
          </rPr>
          <t>26 KT / 15 Sch - 28.05.18</t>
        </r>
      </text>
    </comment>
    <comment ref="BB26" authorId="0" shapeId="0" xr:uid="{00000000-0006-0000-0100-00009E010000}">
      <text>
        <r>
          <rPr>
            <sz val="8"/>
            <color indexed="81"/>
            <rFont val="Segoe UI"/>
            <family val="2"/>
          </rPr>
          <t>26 KT / 15 Sch - 28.05.18</t>
        </r>
      </text>
    </comment>
    <comment ref="BC26" authorId="0" shapeId="0" xr:uid="{00000000-0006-0000-0100-00009F010000}">
      <text>
        <r>
          <rPr>
            <sz val="8"/>
            <color indexed="81"/>
            <rFont val="Segoe UI"/>
            <family val="2"/>
          </rPr>
          <t>26 KT / 15 Sch - 28.05.18</t>
        </r>
      </text>
    </comment>
    <comment ref="BD26" authorId="0" shapeId="0" xr:uid="{00000000-0006-0000-0100-0000A0010000}">
      <text>
        <r>
          <rPr>
            <sz val="8"/>
            <color indexed="81"/>
            <rFont val="Segoe UI"/>
            <family val="2"/>
          </rPr>
          <t>26 KT / 15 Sch - 28.05.18</t>
        </r>
      </text>
    </comment>
    <comment ref="BE26" authorId="0" shapeId="0" xr:uid="{00000000-0006-0000-0100-0000A1010000}">
      <text>
        <r>
          <rPr>
            <sz val="8"/>
            <color indexed="81"/>
            <rFont val="Segoe UI"/>
            <family val="2"/>
          </rPr>
          <t>26 KT / 15 Sch - 28.05.18</t>
        </r>
      </text>
    </comment>
    <comment ref="BF26" authorId="0" shapeId="0" xr:uid="{00000000-0006-0000-0100-0000A2010000}">
      <text>
        <r>
          <rPr>
            <sz val="8"/>
            <color indexed="81"/>
            <rFont val="Segoe UI"/>
            <family val="2"/>
          </rPr>
          <t>26 KT / 15 Sch - 28.05.18</t>
        </r>
      </text>
    </comment>
    <comment ref="BG26" authorId="0" shapeId="0" xr:uid="{00000000-0006-0000-0100-0000A3010000}">
      <text>
        <r>
          <rPr>
            <sz val="8"/>
            <color indexed="81"/>
            <rFont val="Segoe UI"/>
            <family val="2"/>
          </rPr>
          <t>26 KT / 15 Sch - 28.05.18</t>
        </r>
      </text>
    </comment>
    <comment ref="BH26" authorId="0" shapeId="0" xr:uid="{00000000-0006-0000-0100-0000A4010000}">
      <text>
        <r>
          <rPr>
            <sz val="8"/>
            <color indexed="81"/>
            <rFont val="Segoe UI"/>
            <family val="2"/>
          </rPr>
          <t>26 KT / 15 Sch - 28.05.18</t>
        </r>
      </text>
    </comment>
    <comment ref="BI26" authorId="0" shapeId="0" xr:uid="{00000000-0006-0000-0100-0000A5010000}">
      <text>
        <r>
          <rPr>
            <sz val="8"/>
            <color indexed="81"/>
            <rFont val="Segoe UI"/>
            <family val="2"/>
          </rPr>
          <t>26 KT / 15 Sch - 28.05.18</t>
        </r>
      </text>
    </comment>
    <comment ref="D27" authorId="0" shapeId="0" xr:uid="{00000000-0006-0000-0100-0000A6010000}">
      <text>
        <r>
          <rPr>
            <sz val="8"/>
            <color indexed="81"/>
            <rFont val="Segoe UI"/>
            <family val="2"/>
          </rPr>
          <t>2KT / 2Sch - 02.04.18</t>
        </r>
      </text>
    </comment>
    <comment ref="E27" authorId="0" shapeId="0" xr:uid="{00000000-0006-0000-0100-0000A7010000}">
      <text>
        <r>
          <rPr>
            <sz val="8"/>
            <color indexed="81"/>
            <rFont val="Segoe UI"/>
            <family val="2"/>
          </rPr>
          <t>2KT / 2Sch - 02.04.18</t>
        </r>
      </text>
    </comment>
    <comment ref="K27" authorId="0" shapeId="0" xr:uid="{00000000-0006-0000-0100-0000A8010000}">
      <text>
        <r>
          <rPr>
            <sz val="8"/>
            <color indexed="81"/>
            <rFont val="Segoe UI"/>
            <family val="2"/>
          </rPr>
          <t>D1</t>
        </r>
      </text>
    </comment>
    <comment ref="CH27" authorId="0" shapeId="0" xr:uid="{00000000-0006-0000-0100-0000A9010000}">
      <text>
        <r>
          <rPr>
            <sz val="8"/>
            <color indexed="81"/>
            <rFont val="Segoe UI"/>
            <family val="2"/>
          </rPr>
          <t>DA 4</t>
        </r>
      </text>
    </comment>
    <comment ref="D28" authorId="0" shapeId="0" xr:uid="{00000000-0006-0000-0100-0000AA01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E28" authorId="0" shapeId="0" xr:uid="{00000000-0006-0000-0100-0000AB01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F28" authorId="0" shapeId="0" xr:uid="{00000000-0006-0000-0100-0000AC01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G28" authorId="0" shapeId="0" xr:uid="{00000000-0006-0000-0100-0000AD01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H28" authorId="0" shapeId="0" xr:uid="{00000000-0006-0000-0100-0000AE01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I28" authorId="0" shapeId="0" xr:uid="{00000000-0006-0000-0100-0000AF01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J28" authorId="0" shapeId="0" xr:uid="{00000000-0006-0000-0100-0000B001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K28" authorId="0" shapeId="0" xr:uid="{00000000-0006-0000-0100-0000B101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L28" authorId="0" shapeId="0" xr:uid="{00000000-0006-0000-0100-0000B201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M28" authorId="0" shapeId="0" xr:uid="{00000000-0006-0000-0100-0000B301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BZ28" authorId="0" shapeId="0" xr:uid="{00000000-0006-0000-0100-0000B4010000}">
      <text>
        <r>
          <rPr>
            <sz val="8"/>
            <color indexed="81"/>
            <rFont val="Segoe UI"/>
            <family val="2"/>
          </rPr>
          <t>1 KT / 1 Sch - 14.06.18</t>
        </r>
      </text>
    </comment>
    <comment ref="CE28" authorId="0" shapeId="0" xr:uid="{00000000-0006-0000-0100-0000B5010000}">
      <text>
        <r>
          <rPr>
            <sz val="8"/>
            <color indexed="81"/>
            <rFont val="Segoe UI"/>
            <family val="2"/>
          </rPr>
          <t>1 KT / 1 Sch - 19.06.18</t>
        </r>
      </text>
    </comment>
    <comment ref="CM28" authorId="0" shapeId="0" xr:uid="{00000000-0006-0000-0100-0000B6010000}">
      <text>
        <r>
          <rPr>
            <sz val="8"/>
            <color indexed="81"/>
            <rFont val="Segoe UI"/>
            <family val="2"/>
          </rPr>
          <t>4KT / 4Sch - 30.06.18</t>
        </r>
      </text>
    </comment>
    <comment ref="CN28" authorId="0" shapeId="0" xr:uid="{00000000-0006-0000-0100-0000B7010000}">
      <text>
        <r>
          <rPr>
            <sz val="8"/>
            <color indexed="81"/>
            <rFont val="Segoe UI"/>
            <family val="2"/>
          </rPr>
          <t>4KT / 4Sch - 30.06.18</t>
        </r>
      </text>
    </comment>
    <comment ref="CO28" authorId="0" shapeId="0" xr:uid="{00000000-0006-0000-0100-0000B8010000}">
      <text>
        <r>
          <rPr>
            <sz val="8"/>
            <color indexed="81"/>
            <rFont val="Segoe UI"/>
            <family val="2"/>
          </rPr>
          <t>4KT / 4Sch - 30.06.18</t>
        </r>
      </text>
    </comment>
    <comment ref="CP28" authorId="0" shapeId="0" xr:uid="{00000000-0006-0000-0100-0000B9010000}">
      <text>
        <r>
          <rPr>
            <sz val="8"/>
            <color indexed="81"/>
            <rFont val="Segoe UI"/>
            <family val="2"/>
          </rPr>
          <t>4KT / 4Sch - 30.06.18</t>
        </r>
      </text>
    </comment>
    <comment ref="J29" authorId="0" shapeId="0" xr:uid="{00000000-0006-0000-0100-0000BA010000}">
      <text>
        <r>
          <rPr>
            <sz val="8"/>
            <color indexed="81"/>
            <rFont val="Segoe UI"/>
            <family val="2"/>
          </rPr>
          <t>1 KT / 1 Sch - 07.04.18</t>
        </r>
      </text>
    </comment>
    <comment ref="K29" authorId="0" shapeId="0" xr:uid="{00000000-0006-0000-0100-0000BB010000}">
      <text>
        <r>
          <rPr>
            <sz val="8"/>
            <color indexed="81"/>
            <rFont val="Segoe UI"/>
            <family val="2"/>
          </rPr>
          <t>19 KT / 11 Sch - 26.04.18</t>
        </r>
      </text>
    </comment>
    <comment ref="L29" authorId="0" shapeId="0" xr:uid="{00000000-0006-0000-0100-0000BC010000}">
      <text>
        <r>
          <rPr>
            <sz val="8"/>
            <color indexed="81"/>
            <rFont val="Segoe UI"/>
            <family val="2"/>
          </rPr>
          <t>19 KT / 11 Sch - 26.04.18</t>
        </r>
      </text>
    </comment>
    <comment ref="M29" authorId="0" shapeId="0" xr:uid="{00000000-0006-0000-0100-0000BD010000}">
      <text>
        <r>
          <rPr>
            <sz val="8"/>
            <color indexed="81"/>
            <rFont val="Segoe UI"/>
            <family val="2"/>
          </rPr>
          <t>19 KT / 11 Sch - 26.04.18</t>
        </r>
      </text>
    </comment>
    <comment ref="N29" authorId="0" shapeId="0" xr:uid="{00000000-0006-0000-0100-0000BE010000}">
      <text>
        <r>
          <rPr>
            <sz val="8"/>
            <color indexed="81"/>
            <rFont val="Segoe UI"/>
            <family val="2"/>
          </rPr>
          <t>19 KT / 11 Sch - 26.04.18</t>
        </r>
      </text>
    </comment>
    <comment ref="O29" authorId="0" shapeId="0" xr:uid="{00000000-0006-0000-0100-0000BF010000}">
      <text>
        <r>
          <rPr>
            <sz val="8"/>
            <color indexed="81"/>
            <rFont val="Segoe UI"/>
            <family val="2"/>
          </rPr>
          <t>19 KT / 11 Sch - 26.04.18</t>
        </r>
      </text>
    </comment>
    <comment ref="P29" authorId="0" shapeId="0" xr:uid="{00000000-0006-0000-0100-0000C0010000}">
      <text>
        <r>
          <rPr>
            <sz val="8"/>
            <color indexed="81"/>
            <rFont val="Segoe UI"/>
            <family val="2"/>
          </rPr>
          <t>19 KT / 11 Sch - 26.04.18</t>
        </r>
      </text>
    </comment>
    <comment ref="Q29" authorId="0" shapeId="0" xr:uid="{00000000-0006-0000-0100-0000C1010000}">
      <text>
        <r>
          <rPr>
            <sz val="8"/>
            <color indexed="81"/>
            <rFont val="Segoe UI"/>
            <family val="2"/>
          </rPr>
          <t>19 KT / 11 Sch - 26.04.18</t>
        </r>
      </text>
    </comment>
    <comment ref="R29" authorId="0" shapeId="0" xr:uid="{00000000-0006-0000-0100-0000C2010000}">
      <text>
        <r>
          <rPr>
            <sz val="8"/>
            <color indexed="81"/>
            <rFont val="Segoe UI"/>
            <family val="2"/>
          </rPr>
          <t>19 KT / 11 Sch - 26.04.18</t>
        </r>
      </text>
    </comment>
    <comment ref="S29" authorId="0" shapeId="0" xr:uid="{00000000-0006-0000-0100-0000C3010000}">
      <text>
        <r>
          <rPr>
            <sz val="8"/>
            <color indexed="81"/>
            <rFont val="Segoe UI"/>
            <family val="2"/>
          </rPr>
          <t>19 KT / 11 Sch - 26.04.18</t>
        </r>
      </text>
    </comment>
    <comment ref="T29" authorId="0" shapeId="0" xr:uid="{00000000-0006-0000-0100-0000C4010000}">
      <text>
        <r>
          <rPr>
            <sz val="8"/>
            <color indexed="81"/>
            <rFont val="Segoe UI"/>
            <family val="2"/>
          </rPr>
          <t>19 KT / 11 Sch - 26.04.18</t>
        </r>
      </text>
    </comment>
    <comment ref="U29" authorId="0" shapeId="0" xr:uid="{00000000-0006-0000-0100-0000C5010000}">
      <text>
        <r>
          <rPr>
            <sz val="8"/>
            <color indexed="81"/>
            <rFont val="Segoe UI"/>
            <family val="2"/>
          </rPr>
          <t>19 KT / 11 Sch - 26.04.18</t>
        </r>
      </text>
    </comment>
    <comment ref="V29" authorId="0" shapeId="0" xr:uid="{00000000-0006-0000-0100-0000C6010000}">
      <text>
        <r>
          <rPr>
            <sz val="8"/>
            <color indexed="81"/>
            <rFont val="Segoe UI"/>
            <family val="2"/>
          </rPr>
          <t>19 KT / 11 Sch - 26.04.18</t>
        </r>
      </text>
    </comment>
    <comment ref="W29" authorId="0" shapeId="0" xr:uid="{00000000-0006-0000-0100-0000C7010000}">
      <text>
        <r>
          <rPr>
            <sz val="8"/>
            <color indexed="81"/>
            <rFont val="Segoe UI"/>
            <family val="2"/>
          </rPr>
          <t>19 KT / 11 Sch - 26.04.18</t>
        </r>
      </text>
    </comment>
    <comment ref="X29" authorId="0" shapeId="0" xr:uid="{00000000-0006-0000-0100-0000C8010000}">
      <text>
        <r>
          <rPr>
            <sz val="8"/>
            <color indexed="81"/>
            <rFont val="Segoe UI"/>
            <family val="2"/>
          </rPr>
          <t>19 KT / 11 Sch - 26.04.18</t>
        </r>
      </text>
    </comment>
    <comment ref="Y29" authorId="0" shapeId="0" xr:uid="{00000000-0006-0000-0100-0000C9010000}">
      <text>
        <r>
          <rPr>
            <sz val="8"/>
            <color indexed="81"/>
            <rFont val="Segoe UI"/>
            <family val="2"/>
          </rPr>
          <t>19 KT / 11 Sch - 26.04.18</t>
        </r>
      </text>
    </comment>
    <comment ref="Z29" authorId="0" shapeId="0" xr:uid="{00000000-0006-0000-0100-0000CA010000}">
      <text>
        <r>
          <rPr>
            <sz val="8"/>
            <color indexed="81"/>
            <rFont val="Segoe UI"/>
            <family val="2"/>
          </rPr>
          <t>19 KT / 11 Sch - 26.04.18</t>
        </r>
      </text>
    </comment>
    <comment ref="AA29" authorId="0" shapeId="0" xr:uid="{00000000-0006-0000-0100-0000CB010000}">
      <text>
        <r>
          <rPr>
            <sz val="8"/>
            <color indexed="81"/>
            <rFont val="Segoe UI"/>
            <family val="2"/>
          </rPr>
          <t>19 KT / 11 Sch - 26.04.18</t>
        </r>
      </text>
    </comment>
    <comment ref="AB29" authorId="0" shapeId="0" xr:uid="{00000000-0006-0000-0100-0000CC010000}">
      <text>
        <r>
          <rPr>
            <sz val="8"/>
            <color indexed="81"/>
            <rFont val="Segoe UI"/>
            <family val="2"/>
          </rPr>
          <t>19 KT / 11 Sch - 26.04.18</t>
        </r>
      </text>
    </comment>
    <comment ref="AC29" authorId="0" shapeId="0" xr:uid="{00000000-0006-0000-0100-0000CD010000}">
      <text>
        <r>
          <rPr>
            <sz val="8"/>
            <color indexed="81"/>
            <rFont val="Segoe UI"/>
            <family val="2"/>
          </rPr>
          <t>19 KT / 11 Sch - 26.04.18</t>
        </r>
      </text>
    </comment>
    <comment ref="AI29" authorId="0" shapeId="0" xr:uid="{00000000-0006-0000-0100-0000CE010000}">
      <text>
        <r>
          <rPr>
            <sz val="8"/>
            <color indexed="81"/>
            <rFont val="Segoe UI"/>
            <family val="2"/>
          </rPr>
          <t>AZV 2018</t>
        </r>
      </text>
    </comment>
    <comment ref="AJ29" authorId="0" shapeId="0" xr:uid="{00000000-0006-0000-0100-0000CF010000}">
      <text>
        <r>
          <rPr>
            <sz val="8"/>
            <color indexed="81"/>
            <rFont val="Segoe UI"/>
            <family val="2"/>
          </rPr>
          <t>GeZi</t>
        </r>
      </text>
    </comment>
    <comment ref="AK29" authorId="0" shapeId="0" xr:uid="{00000000-0006-0000-0100-0000D0010000}">
      <text>
        <r>
          <rPr>
            <sz val="8"/>
            <color indexed="81"/>
            <rFont val="Segoe UI"/>
            <family val="2"/>
          </rPr>
          <t>GeZi</t>
        </r>
      </text>
    </comment>
    <comment ref="AL29" authorId="0" shapeId="0" xr:uid="{00000000-0006-0000-0100-0000D1010000}">
      <text>
        <r>
          <rPr>
            <sz val="8"/>
            <color indexed="81"/>
            <rFont val="Segoe UI"/>
            <family val="2"/>
          </rPr>
          <t>GeZi</t>
        </r>
      </text>
    </comment>
    <comment ref="AM29" authorId="0" shapeId="0" xr:uid="{00000000-0006-0000-0100-0000D2010000}">
      <text>
        <r>
          <rPr>
            <sz val="8"/>
            <color indexed="81"/>
            <rFont val="Segoe UI"/>
            <family val="2"/>
          </rPr>
          <t>GeZi</t>
        </r>
      </text>
    </comment>
    <comment ref="AN29" authorId="0" shapeId="0" xr:uid="{00000000-0006-0000-0100-0000D3010000}">
      <text>
        <r>
          <rPr>
            <sz val="8"/>
            <color indexed="81"/>
            <rFont val="Segoe UI"/>
            <family val="2"/>
          </rPr>
          <t>GeZi</t>
        </r>
      </text>
    </comment>
    <comment ref="AO29" authorId="0" shapeId="0" xr:uid="{00000000-0006-0000-0100-0000D4010000}">
      <text>
        <r>
          <rPr>
            <sz val="8"/>
            <color indexed="81"/>
            <rFont val="Segoe UI"/>
            <family val="2"/>
          </rPr>
          <t>GeZi</t>
        </r>
      </text>
    </comment>
    <comment ref="AP29" authorId="0" shapeId="0" xr:uid="{00000000-0006-0000-0100-0000D5010000}">
      <text>
        <r>
          <rPr>
            <sz val="8"/>
            <color indexed="81"/>
            <rFont val="Segoe UI"/>
            <family val="2"/>
          </rPr>
          <t>GeZi</t>
        </r>
      </text>
    </comment>
    <comment ref="AQ29" authorId="0" shapeId="0" xr:uid="{00000000-0006-0000-0100-0000D6010000}">
      <text>
        <r>
          <rPr>
            <sz val="8"/>
            <color indexed="81"/>
            <rFont val="Segoe UI"/>
            <family val="2"/>
          </rPr>
          <t>GeZi</t>
        </r>
      </text>
    </comment>
    <comment ref="AR29" authorId="0" shapeId="0" xr:uid="{00000000-0006-0000-0100-0000D7010000}">
      <text>
        <r>
          <rPr>
            <sz val="8"/>
            <color indexed="81"/>
            <rFont val="Segoe UI"/>
            <family val="2"/>
          </rPr>
          <t>GeZi</t>
        </r>
      </text>
    </comment>
    <comment ref="AS29" authorId="0" shapeId="0" xr:uid="{00000000-0006-0000-0100-0000D8010000}">
      <text>
        <r>
          <rPr>
            <sz val="8"/>
            <color indexed="81"/>
            <rFont val="Segoe UI"/>
            <family val="2"/>
          </rPr>
          <t>GeZi</t>
        </r>
      </text>
    </comment>
    <comment ref="AT29" authorId="0" shapeId="0" xr:uid="{00000000-0006-0000-0100-0000D9010000}">
      <text>
        <r>
          <rPr>
            <sz val="8"/>
            <color indexed="81"/>
            <rFont val="Segoe UI"/>
            <family val="2"/>
          </rPr>
          <t>GeZi</t>
        </r>
      </text>
    </comment>
    <comment ref="AU29" authorId="0" shapeId="0" xr:uid="{00000000-0006-0000-0100-0000DA010000}">
      <text>
        <r>
          <rPr>
            <sz val="8"/>
            <color indexed="81"/>
            <rFont val="Segoe UI"/>
            <family val="2"/>
          </rPr>
          <t>GeZi</t>
        </r>
      </text>
    </comment>
    <comment ref="AV29" authorId="0" shapeId="0" xr:uid="{00000000-0006-0000-0100-0000DB010000}">
      <text>
        <r>
          <rPr>
            <sz val="8"/>
            <color indexed="81"/>
            <rFont val="Segoe UI"/>
            <family val="2"/>
          </rPr>
          <t>GeZi</t>
        </r>
      </text>
    </comment>
    <comment ref="AW29" authorId="0" shapeId="0" xr:uid="{00000000-0006-0000-0100-0000DC010000}">
      <text>
        <r>
          <rPr>
            <sz val="8"/>
            <color indexed="81"/>
            <rFont val="Segoe UI"/>
            <family val="2"/>
          </rPr>
          <t>GeZi</t>
        </r>
      </text>
    </comment>
    <comment ref="BA29" authorId="0" shapeId="0" xr:uid="{00000000-0006-0000-0100-0000DD010000}">
      <text>
        <r>
          <rPr>
            <sz val="8"/>
            <color indexed="81"/>
            <rFont val="Segoe UI"/>
            <family val="2"/>
          </rPr>
          <t>WAZ beachten</t>
        </r>
      </text>
    </comment>
    <comment ref="AY30" authorId="0" shapeId="0" xr:uid="{00000000-0006-0000-0100-0000DE010000}">
      <text>
        <r>
          <rPr>
            <sz val="8"/>
            <color indexed="81"/>
            <rFont val="Segoe UI"/>
            <family val="2"/>
          </rPr>
          <t>§ 12a I-IV 2017</t>
        </r>
      </text>
    </comment>
    <comment ref="AZ30" authorId="0" shapeId="0" xr:uid="{00000000-0006-0000-0100-0000DF010000}">
      <text>
        <r>
          <rPr>
            <sz val="8"/>
            <color indexed="81"/>
            <rFont val="Segoe UI"/>
            <family val="2"/>
          </rPr>
          <t>§ 12a I-IV 2017</t>
        </r>
      </text>
    </comment>
    <comment ref="BA30" authorId="0" shapeId="0" xr:uid="{00000000-0006-0000-0100-0000E0010000}">
      <text>
        <r>
          <rPr>
            <sz val="8"/>
            <color indexed="81"/>
            <rFont val="Segoe UI"/>
            <family val="2"/>
          </rPr>
          <t>§ 12a I-IV 2017</t>
        </r>
      </text>
    </comment>
    <comment ref="BB30" authorId="0" shapeId="0" xr:uid="{00000000-0006-0000-0100-0000E1010000}">
      <text>
        <r>
          <rPr>
            <sz val="8"/>
            <color indexed="81"/>
            <rFont val="Segoe UI"/>
            <family val="2"/>
          </rPr>
          <t>§ 12a I-IV 2017</t>
        </r>
      </text>
    </comment>
    <comment ref="BW30" authorId="0" shapeId="0" xr:uid="{00000000-0006-0000-0100-0000E2010000}">
      <text>
        <r>
          <rPr>
            <sz val="8"/>
            <color indexed="81"/>
            <rFont val="Segoe UI"/>
            <family val="2"/>
          </rPr>
          <t>19 KT / 11 Sch - 29.06.18</t>
        </r>
      </text>
    </comment>
    <comment ref="BX30" authorId="0" shapeId="0" xr:uid="{00000000-0006-0000-0100-0000E3010000}">
      <text>
        <r>
          <rPr>
            <sz val="8"/>
            <color indexed="81"/>
            <rFont val="Segoe UI"/>
            <family val="2"/>
          </rPr>
          <t>19 KT / 11 Sch - 29.06.18</t>
        </r>
      </text>
    </comment>
    <comment ref="BY30" authorId="0" shapeId="0" xr:uid="{00000000-0006-0000-0100-0000E4010000}">
      <text>
        <r>
          <rPr>
            <sz val="8"/>
            <color indexed="81"/>
            <rFont val="Segoe UI"/>
            <family val="2"/>
          </rPr>
          <t>19 KT / 11 Sch - 29.06.18</t>
        </r>
      </text>
    </comment>
    <comment ref="BZ30" authorId="0" shapeId="0" xr:uid="{00000000-0006-0000-0100-0000E5010000}">
      <text>
        <r>
          <rPr>
            <sz val="8"/>
            <color indexed="81"/>
            <rFont val="Segoe UI"/>
            <family val="2"/>
          </rPr>
          <t>19 KT / 11 Sch - 29.06.18</t>
        </r>
      </text>
    </comment>
    <comment ref="CA30" authorId="0" shapeId="0" xr:uid="{00000000-0006-0000-0100-0000E6010000}">
      <text>
        <r>
          <rPr>
            <sz val="8"/>
            <color indexed="81"/>
            <rFont val="Segoe UI"/>
            <family val="2"/>
          </rPr>
          <t>19 KT / 11 Sch - 29.06.18</t>
        </r>
      </text>
    </comment>
    <comment ref="CB30" authorId="0" shapeId="0" xr:uid="{00000000-0006-0000-0100-0000E7010000}">
      <text>
        <r>
          <rPr>
            <sz val="8"/>
            <color indexed="81"/>
            <rFont val="Segoe UI"/>
            <family val="2"/>
          </rPr>
          <t>19 KT / 11 Sch - 29.06.18</t>
        </r>
      </text>
    </comment>
    <comment ref="CC30" authorId="0" shapeId="0" xr:uid="{00000000-0006-0000-0100-0000E8010000}">
      <text>
        <r>
          <rPr>
            <sz val="8"/>
            <color indexed="81"/>
            <rFont val="Segoe UI"/>
            <family val="2"/>
          </rPr>
          <t>19 KT / 11 Sch - 29.06.18</t>
        </r>
      </text>
    </comment>
    <comment ref="CD30" authorId="0" shapeId="0" xr:uid="{00000000-0006-0000-0100-0000E9010000}">
      <text>
        <r>
          <rPr>
            <sz val="8"/>
            <color indexed="81"/>
            <rFont val="Segoe UI"/>
            <family val="2"/>
          </rPr>
          <t>19 KT / 11 Sch - 29.06.18</t>
        </r>
      </text>
    </comment>
    <comment ref="CE30" authorId="0" shapeId="0" xr:uid="{00000000-0006-0000-0100-0000EA010000}">
      <text>
        <r>
          <rPr>
            <sz val="8"/>
            <color indexed="81"/>
            <rFont val="Segoe UI"/>
            <family val="2"/>
          </rPr>
          <t>19 KT / 11 Sch - 29.06.18</t>
        </r>
      </text>
    </comment>
    <comment ref="CF30" authorId="0" shapeId="0" xr:uid="{00000000-0006-0000-0100-0000EB010000}">
      <text>
        <r>
          <rPr>
            <sz val="8"/>
            <color indexed="81"/>
            <rFont val="Segoe UI"/>
            <family val="2"/>
          </rPr>
          <t>19 KT / 11 Sch - 29.06.18</t>
        </r>
      </text>
    </comment>
    <comment ref="CG30" authorId="0" shapeId="0" xr:uid="{00000000-0006-0000-0100-0000EC010000}">
      <text>
        <r>
          <rPr>
            <sz val="8"/>
            <color indexed="81"/>
            <rFont val="Segoe UI"/>
            <family val="2"/>
          </rPr>
          <t>19 KT / 11 Sch - 29.06.18</t>
        </r>
      </text>
    </comment>
    <comment ref="CH30" authorId="0" shapeId="0" xr:uid="{00000000-0006-0000-0100-0000ED010000}">
      <text>
        <r>
          <rPr>
            <sz val="8"/>
            <color indexed="81"/>
            <rFont val="Segoe UI"/>
            <family val="2"/>
          </rPr>
          <t>19 KT / 11 Sch - 29.06.18</t>
        </r>
      </text>
    </comment>
    <comment ref="CI30" authorId="0" shapeId="0" xr:uid="{00000000-0006-0000-0100-0000EE010000}">
      <text>
        <r>
          <rPr>
            <sz val="8"/>
            <color indexed="81"/>
            <rFont val="Segoe UI"/>
            <family val="2"/>
          </rPr>
          <t>19 KT / 11 Sch - 29.06.18</t>
        </r>
      </text>
    </comment>
    <comment ref="CJ30" authorId="0" shapeId="0" xr:uid="{00000000-0006-0000-0100-0000EF010000}">
      <text>
        <r>
          <rPr>
            <sz val="8"/>
            <color indexed="81"/>
            <rFont val="Segoe UI"/>
            <family val="2"/>
          </rPr>
          <t>19 KT / 11 Sch - 29.06.18</t>
        </r>
      </text>
    </comment>
    <comment ref="CK30" authorId="0" shapeId="0" xr:uid="{00000000-0006-0000-0100-0000F0010000}">
      <text>
        <r>
          <rPr>
            <sz val="8"/>
            <color indexed="81"/>
            <rFont val="Segoe UI"/>
            <family val="2"/>
          </rPr>
          <t>19 KT / 11 Sch - 29.06.18</t>
        </r>
      </text>
    </comment>
    <comment ref="CL30" authorId="0" shapeId="0" xr:uid="{00000000-0006-0000-0100-0000F1010000}">
      <text>
        <r>
          <rPr>
            <sz val="8"/>
            <color indexed="81"/>
            <rFont val="Segoe UI"/>
            <family val="2"/>
          </rPr>
          <t>19 KT / 11 Sch - 29.06.18</t>
        </r>
      </text>
    </comment>
    <comment ref="CM30" authorId="0" shapeId="0" xr:uid="{00000000-0006-0000-0100-0000F2010000}">
      <text>
        <r>
          <rPr>
            <sz val="8"/>
            <color indexed="81"/>
            <rFont val="Segoe UI"/>
            <family val="2"/>
          </rPr>
          <t>19 KT / 11 Sch - 29.06.18</t>
        </r>
      </text>
    </comment>
    <comment ref="CN30" authorId="0" shapeId="0" xr:uid="{00000000-0006-0000-0100-0000F3010000}">
      <text>
        <r>
          <rPr>
            <sz val="8"/>
            <color indexed="81"/>
            <rFont val="Segoe UI"/>
            <family val="2"/>
          </rPr>
          <t>19 KT / 11 Sch - 29.06.18</t>
        </r>
      </text>
    </comment>
    <comment ref="CO30" authorId="0" shapeId="0" xr:uid="{00000000-0006-0000-0100-0000F4010000}">
      <text>
        <r>
          <rPr>
            <sz val="8"/>
            <color indexed="81"/>
            <rFont val="Segoe UI"/>
            <family val="2"/>
          </rPr>
          <t>19 KT / 11 Sch - 29.06.18</t>
        </r>
      </text>
    </comment>
    <comment ref="D31" authorId="0" shapeId="0" xr:uid="{00000000-0006-0000-0100-0000F501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E31" authorId="0" shapeId="0" xr:uid="{00000000-0006-0000-0100-0000F601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F31" authorId="0" shapeId="0" xr:uid="{00000000-0006-0000-0100-0000F701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G31" authorId="0" shapeId="0" xr:uid="{00000000-0006-0000-0100-0000F801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H31" authorId="0" shapeId="0" xr:uid="{00000000-0006-0000-0100-0000F901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I31" authorId="0" shapeId="0" xr:uid="{00000000-0006-0000-0100-0000FA01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J31" authorId="0" shapeId="0" xr:uid="{00000000-0006-0000-0100-0000FB01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K31" authorId="0" shapeId="0" xr:uid="{00000000-0006-0000-0100-0000FC01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L31" authorId="0" shapeId="0" xr:uid="{00000000-0006-0000-0100-0000FD01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M31" authorId="0" shapeId="0" xr:uid="{00000000-0006-0000-0100-0000FE010000}">
      <text>
        <r>
          <rPr>
            <sz val="8"/>
            <color indexed="81"/>
            <rFont val="Segoe UI"/>
            <family val="2"/>
          </rPr>
          <t>10KT / 7Sch - 10.04.18</t>
        </r>
      </text>
    </comment>
    <comment ref="AJ32" authorId="0" shapeId="0" xr:uid="{00000000-0006-0000-0100-0000FF010000}">
      <text>
        <r>
          <rPr>
            <sz val="8"/>
            <color indexed="81"/>
            <rFont val="Segoe UI"/>
            <family val="2"/>
          </rPr>
          <t>18KT / 11Sch - 20.05.18</t>
        </r>
      </text>
    </comment>
    <comment ref="AK32" authorId="0" shapeId="0" xr:uid="{00000000-0006-0000-0100-000000020000}">
      <text>
        <r>
          <rPr>
            <sz val="8"/>
            <color indexed="81"/>
            <rFont val="Segoe UI"/>
            <family val="2"/>
          </rPr>
          <t>18KT / 11Sch - 20.05.18</t>
        </r>
      </text>
    </comment>
    <comment ref="AL32" authorId="0" shapeId="0" xr:uid="{00000000-0006-0000-0100-000001020000}">
      <text>
        <r>
          <rPr>
            <sz val="8"/>
            <color indexed="81"/>
            <rFont val="Segoe UI"/>
            <family val="2"/>
          </rPr>
          <t>18KT / 11Sch - 20.05.18</t>
        </r>
      </text>
    </comment>
    <comment ref="AM32" authorId="0" shapeId="0" xr:uid="{00000000-0006-0000-0100-000002020000}">
      <text>
        <r>
          <rPr>
            <sz val="8"/>
            <color indexed="81"/>
            <rFont val="Segoe UI"/>
            <family val="2"/>
          </rPr>
          <t>18KT / 11Sch - 20.05.18</t>
        </r>
      </text>
    </comment>
    <comment ref="AN32" authorId="0" shapeId="0" xr:uid="{00000000-0006-0000-0100-000003020000}">
      <text>
        <r>
          <rPr>
            <sz val="8"/>
            <color indexed="81"/>
            <rFont val="Segoe UI"/>
            <family val="2"/>
          </rPr>
          <t>18KT / 11Sch - 20.05.18</t>
        </r>
      </text>
    </comment>
    <comment ref="AO32" authorId="0" shapeId="0" xr:uid="{00000000-0006-0000-0100-000004020000}">
      <text>
        <r>
          <rPr>
            <sz val="8"/>
            <color indexed="81"/>
            <rFont val="Segoe UI"/>
            <family val="2"/>
          </rPr>
          <t>18KT / 11Sch - 20.05.18</t>
        </r>
      </text>
    </comment>
    <comment ref="AP32" authorId="0" shapeId="0" xr:uid="{00000000-0006-0000-0100-000005020000}">
      <text>
        <r>
          <rPr>
            <sz val="8"/>
            <color indexed="81"/>
            <rFont val="Segoe UI"/>
            <family val="2"/>
          </rPr>
          <t>18KT / 11Sch - 20.05.18</t>
        </r>
      </text>
    </comment>
    <comment ref="AQ32" authorId="0" shapeId="0" xr:uid="{00000000-0006-0000-0100-000006020000}">
      <text>
        <r>
          <rPr>
            <sz val="8"/>
            <color indexed="81"/>
            <rFont val="Segoe UI"/>
            <family val="2"/>
          </rPr>
          <t>18KT / 11Sch - 20.05.18</t>
        </r>
      </text>
    </comment>
    <comment ref="AR32" authorId="0" shapeId="0" xr:uid="{00000000-0006-0000-0100-000007020000}">
      <text>
        <r>
          <rPr>
            <sz val="8"/>
            <color indexed="81"/>
            <rFont val="Segoe UI"/>
            <family val="2"/>
          </rPr>
          <t>18KT / 11Sch - 20.05.18</t>
        </r>
      </text>
    </comment>
    <comment ref="AS32" authorId="0" shapeId="0" xr:uid="{00000000-0006-0000-0100-000008020000}">
      <text>
        <r>
          <rPr>
            <sz val="8"/>
            <color indexed="81"/>
            <rFont val="Segoe UI"/>
            <family val="2"/>
          </rPr>
          <t>18KT / 11Sch - 20.05.18</t>
        </r>
      </text>
    </comment>
    <comment ref="AT32" authorId="0" shapeId="0" xr:uid="{00000000-0006-0000-0100-000009020000}">
      <text>
        <r>
          <rPr>
            <sz val="8"/>
            <color indexed="81"/>
            <rFont val="Segoe UI"/>
            <family val="2"/>
          </rPr>
          <t>18KT / 11Sch - 20.05.18</t>
        </r>
      </text>
    </comment>
    <comment ref="AU32" authorId="0" shapeId="0" xr:uid="{00000000-0006-0000-0100-00000A020000}">
      <text>
        <r>
          <rPr>
            <sz val="8"/>
            <color indexed="81"/>
            <rFont val="Segoe UI"/>
            <family val="2"/>
          </rPr>
          <t>18KT / 11Sch - 20.05.18</t>
        </r>
      </text>
    </comment>
    <comment ref="AV32" authorId="0" shapeId="0" xr:uid="{00000000-0006-0000-0100-00000B020000}">
      <text>
        <r>
          <rPr>
            <sz val="8"/>
            <color indexed="81"/>
            <rFont val="Segoe UI"/>
            <family val="2"/>
          </rPr>
          <t>18KT / 11Sch - 20.05.18</t>
        </r>
      </text>
    </comment>
    <comment ref="AW32" authorId="0" shapeId="0" xr:uid="{00000000-0006-0000-0100-00000C020000}">
      <text>
        <r>
          <rPr>
            <sz val="8"/>
            <color indexed="81"/>
            <rFont val="Segoe UI"/>
            <family val="2"/>
          </rPr>
          <t>18KT / 11Sch - 20.05.18</t>
        </r>
      </text>
    </comment>
    <comment ref="AX32" authorId="0" shapeId="0" xr:uid="{00000000-0006-0000-0100-00000D020000}">
      <text>
        <r>
          <rPr>
            <sz val="8"/>
            <color indexed="81"/>
            <rFont val="Segoe UI"/>
            <family val="2"/>
          </rPr>
          <t>18KT / 11Sch - 20.05.18</t>
        </r>
      </text>
    </comment>
    <comment ref="AY32" authorId="0" shapeId="0" xr:uid="{00000000-0006-0000-0100-00000E020000}">
      <text>
        <r>
          <rPr>
            <sz val="8"/>
            <color indexed="81"/>
            <rFont val="Segoe UI"/>
            <family val="2"/>
          </rPr>
          <t>18KT / 11Sch - 20.05.18</t>
        </r>
      </text>
    </comment>
    <comment ref="AZ32" authorId="0" shapeId="0" xr:uid="{00000000-0006-0000-0100-00000F020000}">
      <text>
        <r>
          <rPr>
            <sz val="8"/>
            <color indexed="81"/>
            <rFont val="Segoe UI"/>
            <family val="2"/>
          </rPr>
          <t>18KT / 11Sch - 20.05.18</t>
        </r>
      </text>
    </comment>
    <comment ref="BA32" authorId="0" shapeId="0" xr:uid="{00000000-0006-0000-0100-000010020000}">
      <text>
        <r>
          <rPr>
            <sz val="8"/>
            <color indexed="81"/>
            <rFont val="Segoe UI"/>
            <family val="2"/>
          </rPr>
          <t>18KT / 11Sch - 20.05.18</t>
        </r>
      </text>
    </comment>
    <comment ref="AT33" authorId="0" shapeId="0" xr:uid="{00000000-0006-0000-0100-000011020000}">
      <text>
        <r>
          <rPr>
            <sz val="8"/>
            <color indexed="81"/>
            <rFont val="Segoe UI"/>
            <family val="2"/>
          </rPr>
          <t>Schutzfrist ab 21 Uhr</t>
        </r>
      </text>
    </comment>
    <comment ref="AU33" authorId="0" shapeId="0" xr:uid="{00000000-0006-0000-0100-000012020000}">
      <text>
        <r>
          <rPr>
            <sz val="8"/>
            <color indexed="81"/>
            <rFont val="Segoe UI"/>
            <family val="2"/>
          </rPr>
          <t>Lhg Eigensicherung</t>
        </r>
      </text>
    </comment>
    <comment ref="AV33" authorId="0" shapeId="0" xr:uid="{00000000-0006-0000-0100-000013020000}">
      <text>
        <r>
          <rPr>
            <sz val="8"/>
            <color indexed="81"/>
            <rFont val="Segoe UI"/>
            <family val="2"/>
          </rPr>
          <t>Lhg Eigensicherung</t>
        </r>
      </text>
    </comment>
    <comment ref="AW33" authorId="0" shapeId="0" xr:uid="{00000000-0006-0000-0100-000014020000}">
      <text>
        <r>
          <rPr>
            <sz val="8"/>
            <color indexed="81"/>
            <rFont val="Segoe UI"/>
            <family val="2"/>
          </rPr>
          <t>Lhg Eigensicherung</t>
        </r>
      </text>
    </comment>
    <comment ref="AX33" authorId="0" shapeId="0" xr:uid="{00000000-0006-0000-0100-000015020000}">
      <text>
        <r>
          <rPr>
            <sz val="8"/>
            <color indexed="81"/>
            <rFont val="Segoe UI"/>
            <family val="2"/>
          </rPr>
          <t>Lhg Eigensicherung</t>
        </r>
      </text>
    </comment>
    <comment ref="AY33" authorId="0" shapeId="0" xr:uid="{00000000-0006-0000-0100-000016020000}">
      <text>
        <r>
          <rPr>
            <sz val="8"/>
            <color indexed="81"/>
            <rFont val="Segoe UI"/>
            <family val="2"/>
          </rPr>
          <t>Lhg Eigensicherung</t>
        </r>
      </text>
    </comment>
    <comment ref="BA33" authorId="0" shapeId="0" xr:uid="{00000000-0006-0000-0100-000017020000}">
      <text>
        <r>
          <rPr>
            <sz val="8"/>
            <color indexed="81"/>
            <rFont val="Segoe UI"/>
            <family val="2"/>
          </rPr>
          <t>WAZ</t>
        </r>
      </text>
    </comment>
    <comment ref="D35" authorId="0" shapeId="0" xr:uid="{00000000-0006-0000-0100-000018020000}">
      <text>
        <r>
          <rPr>
            <sz val="8"/>
            <color indexed="81"/>
            <rFont val="Segoe UI"/>
            <family val="2"/>
          </rPr>
          <t>LKA</t>
        </r>
      </text>
    </comment>
    <comment ref="E35" authorId="0" shapeId="0" xr:uid="{00000000-0006-0000-0100-000019020000}">
      <text>
        <r>
          <rPr>
            <sz val="8"/>
            <color indexed="81"/>
            <rFont val="Segoe UI"/>
            <family val="2"/>
          </rPr>
          <t>LKA</t>
        </r>
      </text>
    </comment>
    <comment ref="F35" authorId="0" shapeId="0" xr:uid="{00000000-0006-0000-0100-00001A020000}">
      <text>
        <r>
          <rPr>
            <sz val="8"/>
            <color indexed="81"/>
            <rFont val="Segoe UI"/>
            <family val="2"/>
          </rPr>
          <t>LKA</t>
        </r>
      </text>
    </comment>
    <comment ref="G35" authorId="0" shapeId="0" xr:uid="{00000000-0006-0000-0100-00001B020000}">
      <text>
        <r>
          <rPr>
            <sz val="8"/>
            <color indexed="81"/>
            <rFont val="Segoe UI"/>
            <family val="2"/>
          </rPr>
          <t>LKA</t>
        </r>
      </text>
    </comment>
    <comment ref="H35" authorId="0" shapeId="0" xr:uid="{00000000-0006-0000-0100-00001C020000}">
      <text>
        <r>
          <rPr>
            <sz val="8"/>
            <color indexed="81"/>
            <rFont val="Segoe UI"/>
            <family val="2"/>
          </rPr>
          <t>LKA</t>
        </r>
      </text>
    </comment>
    <comment ref="I35" authorId="0" shapeId="0" xr:uid="{00000000-0006-0000-0100-00001D020000}">
      <text>
        <r>
          <rPr>
            <sz val="8"/>
            <color indexed="81"/>
            <rFont val="Segoe UI"/>
            <family val="2"/>
          </rPr>
          <t>LKA</t>
        </r>
      </text>
    </comment>
    <comment ref="J35" authorId="0" shapeId="0" xr:uid="{00000000-0006-0000-0100-00001E020000}">
      <text>
        <r>
          <rPr>
            <sz val="8"/>
            <color indexed="81"/>
            <rFont val="Segoe UI"/>
            <family val="2"/>
          </rPr>
          <t>LKA</t>
        </r>
      </text>
    </comment>
    <comment ref="K35" authorId="0" shapeId="0" xr:uid="{00000000-0006-0000-0100-00001F020000}">
      <text>
        <r>
          <rPr>
            <sz val="8"/>
            <color indexed="81"/>
            <rFont val="Segoe UI"/>
            <family val="2"/>
          </rPr>
          <t>LKA</t>
        </r>
      </text>
    </comment>
    <comment ref="L35" authorId="0" shapeId="0" xr:uid="{00000000-0006-0000-0100-000020020000}">
      <text>
        <r>
          <rPr>
            <sz val="8"/>
            <color indexed="81"/>
            <rFont val="Segoe UI"/>
            <family val="2"/>
          </rPr>
          <t>LKA</t>
        </r>
      </text>
    </comment>
    <comment ref="M35" authorId="0" shapeId="0" xr:uid="{00000000-0006-0000-0100-000021020000}">
      <text>
        <r>
          <rPr>
            <sz val="8"/>
            <color indexed="81"/>
            <rFont val="Segoe UI"/>
            <family val="2"/>
          </rPr>
          <t>LKA</t>
        </r>
      </text>
    </comment>
    <comment ref="N35" authorId="0" shapeId="0" xr:uid="{00000000-0006-0000-0100-000022020000}">
      <text>
        <r>
          <rPr>
            <sz val="8"/>
            <color indexed="81"/>
            <rFont val="Segoe UI"/>
            <family val="2"/>
          </rPr>
          <t>LKA</t>
        </r>
      </text>
    </comment>
    <comment ref="O35" authorId="0" shapeId="0" xr:uid="{00000000-0006-0000-0100-000023020000}">
      <text>
        <r>
          <rPr>
            <sz val="8"/>
            <color indexed="81"/>
            <rFont val="Segoe UI"/>
            <family val="2"/>
          </rPr>
          <t>LKA</t>
        </r>
      </text>
    </comment>
    <comment ref="P35" authorId="0" shapeId="0" xr:uid="{00000000-0006-0000-0100-000024020000}">
      <text>
        <r>
          <rPr>
            <sz val="8"/>
            <color indexed="81"/>
            <rFont val="Segoe UI"/>
            <family val="2"/>
          </rPr>
          <t>LKA</t>
        </r>
      </text>
    </comment>
    <comment ref="Q35" authorId="0" shapeId="0" xr:uid="{00000000-0006-0000-0100-000025020000}">
      <text>
        <r>
          <rPr>
            <sz val="8"/>
            <color indexed="81"/>
            <rFont val="Segoe UI"/>
            <family val="2"/>
          </rPr>
          <t>LKA</t>
        </r>
      </text>
    </comment>
    <comment ref="R35" authorId="0" shapeId="0" xr:uid="{00000000-0006-0000-0100-000026020000}">
      <text>
        <r>
          <rPr>
            <sz val="8"/>
            <color indexed="81"/>
            <rFont val="Segoe UI"/>
            <family val="2"/>
          </rPr>
          <t>LKA</t>
        </r>
      </text>
    </comment>
    <comment ref="S35" authorId="0" shapeId="0" xr:uid="{00000000-0006-0000-0100-000027020000}">
      <text>
        <r>
          <rPr>
            <sz val="8"/>
            <color indexed="81"/>
            <rFont val="Segoe UI"/>
            <family val="2"/>
          </rPr>
          <t>LKA</t>
        </r>
      </text>
    </comment>
    <comment ref="T35" authorId="0" shapeId="0" xr:uid="{00000000-0006-0000-0100-000028020000}">
      <text>
        <r>
          <rPr>
            <sz val="8"/>
            <color indexed="81"/>
            <rFont val="Segoe UI"/>
            <family val="2"/>
          </rPr>
          <t>LKA</t>
        </r>
      </text>
    </comment>
    <comment ref="U35" authorId="0" shapeId="0" xr:uid="{00000000-0006-0000-0100-000029020000}">
      <text>
        <r>
          <rPr>
            <sz val="8"/>
            <color indexed="81"/>
            <rFont val="Segoe UI"/>
            <family val="2"/>
          </rPr>
          <t>LKA</t>
        </r>
      </text>
    </comment>
    <comment ref="V35" authorId="0" shapeId="0" xr:uid="{00000000-0006-0000-0100-00002A020000}">
      <text>
        <r>
          <rPr>
            <sz val="8"/>
            <color indexed="81"/>
            <rFont val="Segoe UI"/>
            <family val="2"/>
          </rPr>
          <t>LKA</t>
        </r>
      </text>
    </comment>
    <comment ref="W35" authorId="0" shapeId="0" xr:uid="{00000000-0006-0000-0100-00002B020000}">
      <text>
        <r>
          <rPr>
            <sz val="8"/>
            <color indexed="81"/>
            <rFont val="Segoe UI"/>
            <family val="2"/>
          </rPr>
          <t>LKA</t>
        </r>
      </text>
    </comment>
    <comment ref="X35" authorId="0" shapeId="0" xr:uid="{00000000-0006-0000-0100-00002C020000}">
      <text>
        <r>
          <rPr>
            <sz val="8"/>
            <color indexed="81"/>
            <rFont val="Segoe UI"/>
            <family val="2"/>
          </rPr>
          <t>LKA</t>
        </r>
      </text>
    </comment>
    <comment ref="Y35" authorId="0" shapeId="0" xr:uid="{00000000-0006-0000-0100-00002D020000}">
      <text>
        <r>
          <rPr>
            <sz val="8"/>
            <color indexed="81"/>
            <rFont val="Segoe UI"/>
            <family val="2"/>
          </rPr>
          <t>LKA</t>
        </r>
      </text>
    </comment>
    <comment ref="Z35" authorId="0" shapeId="0" xr:uid="{00000000-0006-0000-0100-00002E020000}">
      <text>
        <r>
          <rPr>
            <sz val="8"/>
            <color indexed="81"/>
            <rFont val="Segoe UI"/>
            <family val="2"/>
          </rPr>
          <t>LKA</t>
        </r>
      </text>
    </comment>
    <comment ref="AA35" authorId="0" shapeId="0" xr:uid="{00000000-0006-0000-0100-00002F020000}">
      <text>
        <r>
          <rPr>
            <sz val="8"/>
            <color indexed="81"/>
            <rFont val="Segoe UI"/>
            <family val="2"/>
          </rPr>
          <t>LKA</t>
        </r>
      </text>
    </comment>
    <comment ref="AB35" authorId="0" shapeId="0" xr:uid="{00000000-0006-0000-0100-000030020000}">
      <text>
        <r>
          <rPr>
            <sz val="8"/>
            <color indexed="81"/>
            <rFont val="Segoe UI"/>
            <family val="2"/>
          </rPr>
          <t>LKA</t>
        </r>
      </text>
    </comment>
    <comment ref="AC35" authorId="0" shapeId="0" xr:uid="{00000000-0006-0000-0100-000031020000}">
      <text>
        <r>
          <rPr>
            <sz val="8"/>
            <color indexed="81"/>
            <rFont val="Segoe UI"/>
            <family val="2"/>
          </rPr>
          <t>LKA</t>
        </r>
      </text>
    </comment>
    <comment ref="AD35" authorId="0" shapeId="0" xr:uid="{00000000-0006-0000-0100-000032020000}">
      <text>
        <r>
          <rPr>
            <sz val="8"/>
            <color indexed="81"/>
            <rFont val="Segoe UI"/>
            <family val="2"/>
          </rPr>
          <t>LKA</t>
        </r>
      </text>
    </comment>
    <comment ref="AE35" authorId="0" shapeId="0" xr:uid="{00000000-0006-0000-0100-000033020000}">
      <text>
        <r>
          <rPr>
            <sz val="8"/>
            <color indexed="81"/>
            <rFont val="Segoe UI"/>
            <family val="2"/>
          </rPr>
          <t>LKA</t>
        </r>
      </text>
    </comment>
    <comment ref="AF35" authorId="0" shapeId="0" xr:uid="{00000000-0006-0000-0100-000034020000}">
      <text>
        <r>
          <rPr>
            <sz val="8"/>
            <color indexed="81"/>
            <rFont val="Segoe UI"/>
            <family val="2"/>
          </rPr>
          <t>LKA</t>
        </r>
      </text>
    </comment>
    <comment ref="AG35" authorId="0" shapeId="0" xr:uid="{00000000-0006-0000-0100-000035020000}">
      <text>
        <r>
          <rPr>
            <sz val="8"/>
            <color indexed="81"/>
            <rFont val="Segoe UI"/>
            <family val="2"/>
          </rPr>
          <t>LKA</t>
        </r>
      </text>
    </comment>
    <comment ref="AH35" authorId="0" shapeId="0" xr:uid="{00000000-0006-0000-0100-000036020000}">
      <text>
        <r>
          <rPr>
            <sz val="8"/>
            <color indexed="81"/>
            <rFont val="Segoe UI"/>
            <family val="2"/>
          </rPr>
          <t>LKA</t>
        </r>
      </text>
    </comment>
    <comment ref="AI35" authorId="0" shapeId="0" xr:uid="{00000000-0006-0000-0100-000037020000}">
      <text>
        <r>
          <rPr>
            <sz val="8"/>
            <color indexed="81"/>
            <rFont val="Segoe UI"/>
            <family val="2"/>
          </rPr>
          <t>LKA</t>
        </r>
      </text>
    </comment>
    <comment ref="AJ35" authorId="0" shapeId="0" xr:uid="{00000000-0006-0000-0100-000038020000}">
      <text>
        <r>
          <rPr>
            <sz val="8"/>
            <color indexed="81"/>
            <rFont val="Segoe UI"/>
            <family val="2"/>
          </rPr>
          <t>LKA</t>
        </r>
      </text>
    </comment>
    <comment ref="AK35" authorId="0" shapeId="0" xr:uid="{00000000-0006-0000-0100-000039020000}">
      <text>
        <r>
          <rPr>
            <sz val="8"/>
            <color indexed="81"/>
            <rFont val="Segoe UI"/>
            <family val="2"/>
          </rPr>
          <t>LKA</t>
        </r>
      </text>
    </comment>
    <comment ref="AL35" authorId="0" shapeId="0" xr:uid="{00000000-0006-0000-0100-00003A020000}">
      <text>
        <r>
          <rPr>
            <sz val="8"/>
            <color indexed="81"/>
            <rFont val="Segoe UI"/>
            <family val="2"/>
          </rPr>
          <t>LKA</t>
        </r>
      </text>
    </comment>
    <comment ref="AM35" authorId="0" shapeId="0" xr:uid="{00000000-0006-0000-0100-00003B020000}">
      <text>
        <r>
          <rPr>
            <sz val="8"/>
            <color indexed="81"/>
            <rFont val="Segoe UI"/>
            <family val="2"/>
          </rPr>
          <t>LKA</t>
        </r>
      </text>
    </comment>
    <comment ref="AN35" authorId="0" shapeId="0" xr:uid="{00000000-0006-0000-0100-00003C020000}">
      <text>
        <r>
          <rPr>
            <sz val="8"/>
            <color indexed="81"/>
            <rFont val="Segoe UI"/>
            <family val="2"/>
          </rPr>
          <t>LKA</t>
        </r>
      </text>
    </comment>
    <comment ref="AO35" authorId="0" shapeId="0" xr:uid="{00000000-0006-0000-0100-00003D020000}">
      <text>
        <r>
          <rPr>
            <sz val="8"/>
            <color indexed="81"/>
            <rFont val="Segoe UI"/>
            <family val="2"/>
          </rPr>
          <t>LKA</t>
        </r>
      </text>
    </comment>
    <comment ref="AP35" authorId="0" shapeId="0" xr:uid="{00000000-0006-0000-0100-00003E020000}">
      <text>
        <r>
          <rPr>
            <sz val="8"/>
            <color indexed="81"/>
            <rFont val="Segoe UI"/>
            <family val="2"/>
          </rPr>
          <t>LKA</t>
        </r>
      </text>
    </comment>
    <comment ref="AQ35" authorId="0" shapeId="0" xr:uid="{00000000-0006-0000-0100-00003F020000}">
      <text>
        <r>
          <rPr>
            <sz val="8"/>
            <color indexed="81"/>
            <rFont val="Segoe UI"/>
            <family val="2"/>
          </rPr>
          <t>LKA</t>
        </r>
      </text>
    </comment>
    <comment ref="AR35" authorId="0" shapeId="0" xr:uid="{00000000-0006-0000-0100-000040020000}">
      <text>
        <r>
          <rPr>
            <sz val="8"/>
            <color indexed="81"/>
            <rFont val="Segoe UI"/>
            <family val="2"/>
          </rPr>
          <t>LKA</t>
        </r>
      </text>
    </comment>
    <comment ref="AS35" authorId="0" shapeId="0" xr:uid="{00000000-0006-0000-0100-000041020000}">
      <text>
        <r>
          <rPr>
            <sz val="8"/>
            <color indexed="81"/>
            <rFont val="Segoe UI"/>
            <family val="2"/>
          </rPr>
          <t>LKA</t>
        </r>
      </text>
    </comment>
    <comment ref="AT35" authorId="0" shapeId="0" xr:uid="{00000000-0006-0000-0100-000042020000}">
      <text>
        <r>
          <rPr>
            <sz val="8"/>
            <color indexed="81"/>
            <rFont val="Segoe UI"/>
            <family val="2"/>
          </rPr>
          <t>LKA</t>
        </r>
      </text>
    </comment>
    <comment ref="AU35" authorId="0" shapeId="0" xr:uid="{00000000-0006-0000-0100-000043020000}">
      <text>
        <r>
          <rPr>
            <sz val="8"/>
            <color indexed="81"/>
            <rFont val="Segoe UI"/>
            <family val="2"/>
          </rPr>
          <t>LKA</t>
        </r>
      </text>
    </comment>
    <comment ref="AV35" authorId="0" shapeId="0" xr:uid="{00000000-0006-0000-0100-000044020000}">
      <text>
        <r>
          <rPr>
            <sz val="8"/>
            <color indexed="81"/>
            <rFont val="Segoe UI"/>
            <family val="2"/>
          </rPr>
          <t>LKA</t>
        </r>
      </text>
    </comment>
    <comment ref="AW35" authorId="0" shapeId="0" xr:uid="{00000000-0006-0000-0100-000045020000}">
      <text>
        <r>
          <rPr>
            <sz val="8"/>
            <color indexed="81"/>
            <rFont val="Segoe UI"/>
            <family val="2"/>
          </rPr>
          <t>LKA</t>
        </r>
      </text>
    </comment>
    <comment ref="AX35" authorId="0" shapeId="0" xr:uid="{00000000-0006-0000-0100-000046020000}">
      <text>
        <r>
          <rPr>
            <sz val="8"/>
            <color indexed="81"/>
            <rFont val="Segoe UI"/>
            <family val="2"/>
          </rPr>
          <t>LKA</t>
        </r>
      </text>
    </comment>
    <comment ref="AY35" authorId="0" shapeId="0" xr:uid="{00000000-0006-0000-0100-000047020000}">
      <text>
        <r>
          <rPr>
            <sz val="8"/>
            <color indexed="81"/>
            <rFont val="Segoe UI"/>
            <family val="2"/>
          </rPr>
          <t>LKA</t>
        </r>
      </text>
    </comment>
    <comment ref="AZ35" authorId="0" shapeId="0" xr:uid="{00000000-0006-0000-0100-000048020000}">
      <text>
        <r>
          <rPr>
            <sz val="8"/>
            <color indexed="81"/>
            <rFont val="Segoe UI"/>
            <family val="2"/>
          </rPr>
          <t>LKA</t>
        </r>
      </text>
    </comment>
    <comment ref="BA35" authorId="0" shapeId="0" xr:uid="{00000000-0006-0000-0100-000049020000}">
      <text>
        <r>
          <rPr>
            <sz val="8"/>
            <color indexed="81"/>
            <rFont val="Segoe UI"/>
            <family val="2"/>
          </rPr>
          <t>LKA</t>
        </r>
      </text>
    </comment>
    <comment ref="BB35" authorId="0" shapeId="0" xr:uid="{00000000-0006-0000-0100-00004A020000}">
      <text>
        <r>
          <rPr>
            <sz val="8"/>
            <color indexed="81"/>
            <rFont val="Segoe UI"/>
            <family val="2"/>
          </rPr>
          <t>LKA</t>
        </r>
      </text>
    </comment>
    <comment ref="BC35" authorId="0" shapeId="0" xr:uid="{00000000-0006-0000-0100-00004B020000}">
      <text>
        <r>
          <rPr>
            <sz val="8"/>
            <color indexed="81"/>
            <rFont val="Segoe UI"/>
            <family val="2"/>
          </rPr>
          <t>LKA</t>
        </r>
      </text>
    </comment>
    <comment ref="BD35" authorId="0" shapeId="0" xr:uid="{00000000-0006-0000-0100-00004C020000}">
      <text>
        <r>
          <rPr>
            <sz val="8"/>
            <color indexed="81"/>
            <rFont val="Segoe UI"/>
            <family val="2"/>
          </rPr>
          <t>LKA</t>
        </r>
      </text>
    </comment>
    <comment ref="BE35" authorId="0" shapeId="0" xr:uid="{00000000-0006-0000-0100-00004D020000}">
      <text>
        <r>
          <rPr>
            <sz val="8"/>
            <color indexed="81"/>
            <rFont val="Segoe UI"/>
            <family val="2"/>
          </rPr>
          <t>LKA</t>
        </r>
      </text>
    </comment>
    <comment ref="BF35" authorId="0" shapeId="0" xr:uid="{00000000-0006-0000-0100-00004E020000}">
      <text>
        <r>
          <rPr>
            <sz val="8"/>
            <color indexed="81"/>
            <rFont val="Segoe UI"/>
            <family val="2"/>
          </rPr>
          <t>LKA</t>
        </r>
      </text>
    </comment>
    <comment ref="BG35" authorId="0" shapeId="0" xr:uid="{00000000-0006-0000-0100-00004F020000}">
      <text>
        <r>
          <rPr>
            <sz val="8"/>
            <color indexed="81"/>
            <rFont val="Segoe UI"/>
            <family val="2"/>
          </rPr>
          <t>LKA</t>
        </r>
      </text>
    </comment>
    <comment ref="BH35" authorId="0" shapeId="0" xr:uid="{00000000-0006-0000-0100-000050020000}">
      <text>
        <r>
          <rPr>
            <sz val="8"/>
            <color indexed="81"/>
            <rFont val="Segoe UI"/>
            <family val="2"/>
          </rPr>
          <t>LKA</t>
        </r>
      </text>
    </comment>
    <comment ref="BI35" authorId="0" shapeId="0" xr:uid="{00000000-0006-0000-0100-000051020000}">
      <text>
        <r>
          <rPr>
            <sz val="8"/>
            <color indexed="81"/>
            <rFont val="Segoe UI"/>
            <family val="2"/>
          </rPr>
          <t>LKA</t>
        </r>
      </text>
    </comment>
    <comment ref="BJ35" authorId="0" shapeId="0" xr:uid="{00000000-0006-0000-0100-000052020000}">
      <text>
        <r>
          <rPr>
            <sz val="8"/>
            <color indexed="81"/>
            <rFont val="Segoe UI"/>
            <family val="2"/>
          </rPr>
          <t>LKA</t>
        </r>
      </text>
    </comment>
    <comment ref="BK35" authorId="0" shapeId="0" xr:uid="{00000000-0006-0000-0100-000053020000}">
      <text>
        <r>
          <rPr>
            <sz val="8"/>
            <color indexed="81"/>
            <rFont val="Segoe UI"/>
            <family val="2"/>
          </rPr>
          <t>LKA</t>
        </r>
      </text>
    </comment>
    <comment ref="BL35" authorId="0" shapeId="0" xr:uid="{00000000-0006-0000-0100-000054020000}">
      <text>
        <r>
          <rPr>
            <sz val="8"/>
            <color indexed="81"/>
            <rFont val="Segoe UI"/>
            <family val="2"/>
          </rPr>
          <t>LKA</t>
        </r>
      </text>
    </comment>
    <comment ref="BM35" authorId="0" shapeId="0" xr:uid="{00000000-0006-0000-0100-000055020000}">
      <text>
        <r>
          <rPr>
            <sz val="8"/>
            <color indexed="81"/>
            <rFont val="Segoe UI"/>
            <family val="2"/>
          </rPr>
          <t>LKA</t>
        </r>
      </text>
    </comment>
    <comment ref="BN35" authorId="0" shapeId="0" xr:uid="{00000000-0006-0000-0100-000056020000}">
      <text>
        <r>
          <rPr>
            <sz val="8"/>
            <color indexed="81"/>
            <rFont val="Segoe UI"/>
            <family val="2"/>
          </rPr>
          <t>LKA</t>
        </r>
      </text>
    </comment>
    <comment ref="BO35" authorId="0" shapeId="0" xr:uid="{00000000-0006-0000-0100-000057020000}">
      <text>
        <r>
          <rPr>
            <sz val="8"/>
            <color indexed="81"/>
            <rFont val="Segoe UI"/>
            <family val="2"/>
          </rPr>
          <t>LKA</t>
        </r>
      </text>
    </comment>
    <comment ref="BP35" authorId="0" shapeId="0" xr:uid="{00000000-0006-0000-0100-000058020000}">
      <text>
        <r>
          <rPr>
            <sz val="8"/>
            <color indexed="81"/>
            <rFont val="Segoe UI"/>
            <family val="2"/>
          </rPr>
          <t>LKA</t>
        </r>
      </text>
    </comment>
    <comment ref="BQ35" authorId="0" shapeId="0" xr:uid="{00000000-0006-0000-0100-000059020000}">
      <text>
        <r>
          <rPr>
            <sz val="8"/>
            <color indexed="81"/>
            <rFont val="Segoe UI"/>
            <family val="2"/>
          </rPr>
          <t>LKA</t>
        </r>
      </text>
    </comment>
    <comment ref="BR35" authorId="0" shapeId="0" xr:uid="{00000000-0006-0000-0100-00005A020000}">
      <text>
        <r>
          <rPr>
            <sz val="8"/>
            <color indexed="81"/>
            <rFont val="Segoe UI"/>
            <family val="2"/>
          </rPr>
          <t>LKA</t>
        </r>
      </text>
    </comment>
    <comment ref="BS35" authorId="0" shapeId="0" xr:uid="{00000000-0006-0000-0100-00005B020000}">
      <text>
        <r>
          <rPr>
            <sz val="8"/>
            <color indexed="81"/>
            <rFont val="Segoe UI"/>
            <family val="2"/>
          </rPr>
          <t>LKA</t>
        </r>
      </text>
    </comment>
    <comment ref="BT35" authorId="0" shapeId="0" xr:uid="{00000000-0006-0000-0100-00005C020000}">
      <text>
        <r>
          <rPr>
            <sz val="8"/>
            <color indexed="81"/>
            <rFont val="Segoe UI"/>
            <family val="2"/>
          </rPr>
          <t>LKA</t>
        </r>
      </text>
    </comment>
    <comment ref="BU35" authorId="0" shapeId="0" xr:uid="{00000000-0006-0000-0100-00005D020000}">
      <text>
        <r>
          <rPr>
            <sz val="8"/>
            <color indexed="81"/>
            <rFont val="Segoe UI"/>
            <family val="2"/>
          </rPr>
          <t>LKA</t>
        </r>
      </text>
    </comment>
    <comment ref="BV35" authorId="0" shapeId="0" xr:uid="{00000000-0006-0000-0100-00005E020000}">
      <text>
        <r>
          <rPr>
            <sz val="8"/>
            <color indexed="81"/>
            <rFont val="Segoe UI"/>
            <family val="2"/>
          </rPr>
          <t>LKA</t>
        </r>
      </text>
    </comment>
    <comment ref="BW35" authorId="0" shapeId="0" xr:uid="{00000000-0006-0000-0100-00005F020000}">
      <text>
        <r>
          <rPr>
            <sz val="8"/>
            <color indexed="81"/>
            <rFont val="Segoe UI"/>
            <family val="2"/>
          </rPr>
          <t>LKA</t>
        </r>
      </text>
    </comment>
    <comment ref="BX35" authorId="0" shapeId="0" xr:uid="{00000000-0006-0000-0100-000060020000}">
      <text>
        <r>
          <rPr>
            <sz val="8"/>
            <color indexed="81"/>
            <rFont val="Segoe UI"/>
            <family val="2"/>
          </rPr>
          <t>LKA</t>
        </r>
      </text>
    </comment>
    <comment ref="BY35" authorId="0" shapeId="0" xr:uid="{00000000-0006-0000-0100-000061020000}">
      <text>
        <r>
          <rPr>
            <sz val="8"/>
            <color indexed="81"/>
            <rFont val="Segoe UI"/>
            <family val="2"/>
          </rPr>
          <t>LKA</t>
        </r>
      </text>
    </comment>
    <comment ref="BZ35" authorId="0" shapeId="0" xr:uid="{00000000-0006-0000-0100-000062020000}">
      <text>
        <r>
          <rPr>
            <sz val="8"/>
            <color indexed="81"/>
            <rFont val="Segoe UI"/>
            <family val="2"/>
          </rPr>
          <t>LKA</t>
        </r>
      </text>
    </comment>
    <comment ref="CA35" authorId="0" shapeId="0" xr:uid="{00000000-0006-0000-0100-000063020000}">
      <text>
        <r>
          <rPr>
            <sz val="8"/>
            <color indexed="81"/>
            <rFont val="Segoe UI"/>
            <family val="2"/>
          </rPr>
          <t>LKA</t>
        </r>
      </text>
    </comment>
    <comment ref="CB35" authorId="0" shapeId="0" xr:uid="{00000000-0006-0000-0100-000064020000}">
      <text>
        <r>
          <rPr>
            <sz val="8"/>
            <color indexed="81"/>
            <rFont val="Segoe UI"/>
            <family val="2"/>
          </rPr>
          <t>LKA</t>
        </r>
      </text>
    </comment>
    <comment ref="CC35" authorId="0" shapeId="0" xr:uid="{00000000-0006-0000-0100-000065020000}">
      <text>
        <r>
          <rPr>
            <sz val="8"/>
            <color indexed="81"/>
            <rFont val="Segoe UI"/>
            <family val="2"/>
          </rPr>
          <t>LKA</t>
        </r>
      </text>
    </comment>
    <comment ref="CD35" authorId="0" shapeId="0" xr:uid="{00000000-0006-0000-0100-000066020000}">
      <text>
        <r>
          <rPr>
            <sz val="8"/>
            <color indexed="81"/>
            <rFont val="Segoe UI"/>
            <family val="2"/>
          </rPr>
          <t>LKA</t>
        </r>
      </text>
    </comment>
    <comment ref="CE35" authorId="0" shapeId="0" xr:uid="{00000000-0006-0000-0100-000067020000}">
      <text>
        <r>
          <rPr>
            <sz val="8"/>
            <color indexed="81"/>
            <rFont val="Segoe UI"/>
            <family val="2"/>
          </rPr>
          <t>LKA</t>
        </r>
      </text>
    </comment>
    <comment ref="CF35" authorId="0" shapeId="0" xr:uid="{00000000-0006-0000-0100-000068020000}">
      <text>
        <r>
          <rPr>
            <sz val="8"/>
            <color indexed="81"/>
            <rFont val="Segoe UI"/>
            <family val="2"/>
          </rPr>
          <t>LKA</t>
        </r>
      </text>
    </comment>
    <comment ref="CG35" authorId="0" shapeId="0" xr:uid="{00000000-0006-0000-0100-000069020000}">
      <text>
        <r>
          <rPr>
            <sz val="8"/>
            <color indexed="81"/>
            <rFont val="Segoe UI"/>
            <family val="2"/>
          </rPr>
          <t>LKA</t>
        </r>
      </text>
    </comment>
    <comment ref="CH35" authorId="0" shapeId="0" xr:uid="{00000000-0006-0000-0100-00006A020000}">
      <text>
        <r>
          <rPr>
            <sz val="8"/>
            <color indexed="81"/>
            <rFont val="Segoe UI"/>
            <family val="2"/>
          </rPr>
          <t>LKA</t>
        </r>
      </text>
    </comment>
    <comment ref="CI35" authorId="0" shapeId="0" xr:uid="{00000000-0006-0000-0100-00006B020000}">
      <text>
        <r>
          <rPr>
            <sz val="8"/>
            <color indexed="81"/>
            <rFont val="Segoe UI"/>
            <family val="2"/>
          </rPr>
          <t>LKA</t>
        </r>
      </text>
    </comment>
    <comment ref="CJ35" authorId="0" shapeId="0" xr:uid="{00000000-0006-0000-0100-00006C020000}">
      <text>
        <r>
          <rPr>
            <sz val="8"/>
            <color indexed="81"/>
            <rFont val="Segoe UI"/>
            <family val="2"/>
          </rPr>
          <t>LKA</t>
        </r>
      </text>
    </comment>
    <comment ref="CK35" authorId="0" shapeId="0" xr:uid="{00000000-0006-0000-0100-00006D020000}">
      <text>
        <r>
          <rPr>
            <sz val="8"/>
            <color indexed="81"/>
            <rFont val="Segoe UI"/>
            <family val="2"/>
          </rPr>
          <t>LKA</t>
        </r>
      </text>
    </comment>
    <comment ref="CL35" authorId="0" shapeId="0" xr:uid="{00000000-0006-0000-0100-00006E020000}">
      <text>
        <r>
          <rPr>
            <sz val="8"/>
            <color indexed="81"/>
            <rFont val="Segoe UI"/>
            <family val="2"/>
          </rPr>
          <t>LKA</t>
        </r>
      </text>
    </comment>
    <comment ref="CM35" authorId="0" shapeId="0" xr:uid="{00000000-0006-0000-0100-00006F020000}">
      <text>
        <r>
          <rPr>
            <sz val="8"/>
            <color indexed="81"/>
            <rFont val="Segoe UI"/>
            <family val="2"/>
          </rPr>
          <t>LKA</t>
        </r>
      </text>
    </comment>
    <comment ref="CN35" authorId="0" shapeId="0" xr:uid="{00000000-0006-0000-0100-000070020000}">
      <text>
        <r>
          <rPr>
            <sz val="8"/>
            <color indexed="81"/>
            <rFont val="Segoe UI"/>
            <family val="2"/>
          </rPr>
          <t>LKA</t>
        </r>
      </text>
    </comment>
    <comment ref="CO35" authorId="0" shapeId="0" xr:uid="{00000000-0006-0000-0100-000071020000}">
      <text>
        <r>
          <rPr>
            <sz val="8"/>
            <color indexed="81"/>
            <rFont val="Segoe UI"/>
            <family val="2"/>
          </rPr>
          <t>LKA</t>
        </r>
      </text>
    </comment>
    <comment ref="CP35" authorId="0" shapeId="0" xr:uid="{00000000-0006-0000-0100-000072020000}">
      <text>
        <r>
          <rPr>
            <sz val="8"/>
            <color indexed="81"/>
            <rFont val="Segoe UI"/>
            <family val="2"/>
          </rPr>
          <t>LKA</t>
        </r>
      </text>
    </comment>
    <comment ref="CM38" authorId="0" shapeId="0" xr:uid="{00000000-0006-0000-0100-000073020000}">
      <text>
        <r>
          <rPr>
            <sz val="8"/>
            <color indexed="81"/>
            <rFont val="Segoe UI"/>
            <family val="2"/>
          </rPr>
          <t>4 KT / 4 Sch - 30.06.18</t>
        </r>
      </text>
    </comment>
    <comment ref="CN38" authorId="0" shapeId="0" xr:uid="{00000000-0006-0000-0100-000074020000}">
      <text>
        <r>
          <rPr>
            <sz val="8"/>
            <color indexed="81"/>
            <rFont val="Segoe UI"/>
            <family val="2"/>
          </rPr>
          <t>4 KT / 4 Sch - 30.06.18</t>
        </r>
      </text>
    </comment>
    <comment ref="CO38" authorId="0" shapeId="0" xr:uid="{00000000-0006-0000-0100-000075020000}">
      <text>
        <r>
          <rPr>
            <sz val="8"/>
            <color indexed="81"/>
            <rFont val="Segoe UI"/>
            <family val="2"/>
          </rPr>
          <t>4 KT / 4 Sch - 30.06.18</t>
        </r>
      </text>
    </comment>
    <comment ref="CP38" authorId="0" shapeId="0" xr:uid="{00000000-0006-0000-0100-000076020000}">
      <text>
        <r>
          <rPr>
            <sz val="8"/>
            <color indexed="81"/>
            <rFont val="Segoe UI"/>
            <family val="2"/>
          </rPr>
          <t>4 KT / 4 Sch - 30.06.18</t>
        </r>
      </text>
    </comment>
    <comment ref="CM39" authorId="0" shapeId="0" xr:uid="{00000000-0006-0000-0100-000077020000}">
      <text>
        <r>
          <rPr>
            <sz val="8"/>
            <color indexed="81"/>
            <rFont val="Segoe UI"/>
            <family val="2"/>
          </rPr>
          <t>4 KT / 4 Sch - 30.06.18</t>
        </r>
      </text>
    </comment>
    <comment ref="CN39" authorId="0" shapeId="0" xr:uid="{00000000-0006-0000-0100-000078020000}">
      <text>
        <r>
          <rPr>
            <sz val="8"/>
            <color indexed="81"/>
            <rFont val="Segoe UI"/>
            <family val="2"/>
          </rPr>
          <t>4 KT / 4 Sch - 30.06.18</t>
        </r>
      </text>
    </comment>
    <comment ref="CO39" authorId="0" shapeId="0" xr:uid="{00000000-0006-0000-0100-000079020000}">
      <text>
        <r>
          <rPr>
            <sz val="8"/>
            <color indexed="81"/>
            <rFont val="Segoe UI"/>
            <family val="2"/>
          </rPr>
          <t>4 KT / 4 Sch - 30.06.18</t>
        </r>
      </text>
    </comment>
    <comment ref="CP39" authorId="0" shapeId="0" xr:uid="{00000000-0006-0000-0100-00007A020000}">
      <text>
        <r>
          <rPr>
            <sz val="8"/>
            <color indexed="81"/>
            <rFont val="Segoe UI"/>
            <family val="2"/>
          </rPr>
          <t>4 KT / 4 Sch - 30.06.18</t>
        </r>
      </text>
    </comment>
    <comment ref="CE45" authorId="0" shapeId="0" xr:uid="{00000000-0006-0000-0100-00007B020000}">
      <text>
        <r>
          <rPr>
            <sz val="8"/>
            <color indexed="81"/>
            <rFont val="Segoe UI"/>
            <family val="2"/>
          </rPr>
          <t>Kolloqium</t>
        </r>
      </text>
    </comment>
  </commentList>
</comments>
</file>

<file path=xl/sharedStrings.xml><?xml version="1.0" encoding="utf-8"?>
<sst xmlns="http://schemas.openxmlformats.org/spreadsheetml/2006/main" count="3478" uniqueCount="259">
  <si>
    <t>Dienstplan</t>
  </si>
  <si>
    <t>Dienststelle:</t>
  </si>
  <si>
    <t>Dienstgruppe:</t>
  </si>
  <si>
    <t>Jahr:</t>
  </si>
  <si>
    <t>Datum:</t>
  </si>
  <si>
    <t>Dateiversion:</t>
  </si>
  <si>
    <t>Dateifreigabe:</t>
  </si>
  <si>
    <t>Schichten</t>
  </si>
  <si>
    <t>Dienststellen</t>
  </si>
  <si>
    <t>Startdatum für die Dienstplanberechnung</t>
  </si>
  <si>
    <t>Woche</t>
  </si>
  <si>
    <t>Bezeichnung</t>
  </si>
  <si>
    <t>Beginn</t>
  </si>
  <si>
    <t>Ende</t>
  </si>
  <si>
    <t>u. Pause</t>
  </si>
  <si>
    <t>Länge</t>
  </si>
  <si>
    <t>Diensstelle</t>
  </si>
  <si>
    <t>Start in Woche</t>
  </si>
  <si>
    <t>Tag</t>
  </si>
  <si>
    <t>plus</t>
  </si>
  <si>
    <t>Datum</t>
  </si>
  <si>
    <t>Testbereich - wird später ausgeblendet</t>
  </si>
  <si>
    <t>T</t>
  </si>
  <si>
    <t>N</t>
  </si>
  <si>
    <t>A6</t>
  </si>
  <si>
    <t>A2</t>
  </si>
  <si>
    <t>A4</t>
  </si>
  <si>
    <t>Tagschicht (LER)</t>
  </si>
  <si>
    <t>11. EHu</t>
  </si>
  <si>
    <t>Mo</t>
  </si>
  <si>
    <t>A5</t>
  </si>
  <si>
    <t>T1</t>
  </si>
  <si>
    <t>N2</t>
  </si>
  <si>
    <t>A1</t>
  </si>
  <si>
    <t>Tagschicht (versetzt)</t>
  </si>
  <si>
    <t>12. EHu</t>
  </si>
  <si>
    <t>A3</t>
  </si>
  <si>
    <t>A7</t>
  </si>
  <si>
    <t>Nachtschicht (LER)</t>
  </si>
  <si>
    <t>13. EHu</t>
  </si>
  <si>
    <t>Dienst</t>
  </si>
  <si>
    <t>Tag Diff</t>
  </si>
  <si>
    <t>N1</t>
  </si>
  <si>
    <t>Nachtschicht</t>
  </si>
  <si>
    <t>14. EHu</t>
  </si>
  <si>
    <t>A8</t>
  </si>
  <si>
    <t>Phase 1</t>
  </si>
  <si>
    <t>15. EHu</t>
  </si>
  <si>
    <t>Summe DP Wochen</t>
  </si>
  <si>
    <t>Tag Zyklus</t>
  </si>
  <si>
    <t>Phase 2</t>
  </si>
  <si>
    <t>21. EHu</t>
  </si>
  <si>
    <t>plus späterer Start</t>
  </si>
  <si>
    <t>Phase 3</t>
  </si>
  <si>
    <t>22. EHu</t>
  </si>
  <si>
    <t>Summe DP Tage</t>
  </si>
  <si>
    <t>Phase 4</t>
  </si>
  <si>
    <t>23. EHu</t>
  </si>
  <si>
    <t>Nachtschicht Fr./Sa.; Sa./So.</t>
  </si>
  <si>
    <t>24. EHu</t>
  </si>
  <si>
    <t xml:space="preserve"> Wievielter Zyklus</t>
  </si>
  <si>
    <t>Tag der Woche</t>
  </si>
  <si>
    <t>Alarm</t>
  </si>
  <si>
    <t>25. EHu</t>
  </si>
  <si>
    <t>Dienststelle</t>
  </si>
  <si>
    <t>am</t>
  </si>
  <si>
    <t>Phase</t>
  </si>
  <si>
    <t>Num.</t>
  </si>
  <si>
    <t>Pers.-Nr.</t>
  </si>
  <si>
    <t>Name</t>
  </si>
  <si>
    <t>Do</t>
  </si>
  <si>
    <t>Datenbanken:</t>
  </si>
  <si>
    <t>personal_sdb</t>
  </si>
  <si>
    <t>Krank</t>
  </si>
  <si>
    <t>Gruppengliederung</t>
  </si>
  <si>
    <t>Vorausstärke</t>
  </si>
  <si>
    <t>Datensicherung</t>
  </si>
  <si>
    <t>db_pfad</t>
  </si>
  <si>
    <t>II</t>
  </si>
  <si>
    <t>IV</t>
  </si>
  <si>
    <t>III</t>
  </si>
  <si>
    <t>I</t>
  </si>
  <si>
    <t>ADV</t>
  </si>
  <si>
    <t>DA</t>
  </si>
  <si>
    <t>Urlaub</t>
  </si>
  <si>
    <t>ab Montag, dem</t>
  </si>
  <si>
    <t>Montag</t>
  </si>
  <si>
    <t>Dienstag</t>
  </si>
  <si>
    <t>Mittwoch</t>
  </si>
  <si>
    <t>Donnerstag</t>
  </si>
  <si>
    <t>Freitag</t>
  </si>
  <si>
    <t>Samstag</t>
  </si>
  <si>
    <t>Sonntag</t>
  </si>
  <si>
    <t>Im Dienst</t>
  </si>
  <si>
    <t>Sonstiges</t>
  </si>
  <si>
    <t>Fr</t>
  </si>
  <si>
    <t>Sa</t>
  </si>
  <si>
    <t>So</t>
  </si>
  <si>
    <t>Di</t>
  </si>
  <si>
    <t>Mi</t>
  </si>
  <si>
    <t>Anwesend</t>
  </si>
  <si>
    <t>Sonstige</t>
  </si>
  <si>
    <t>Phase:</t>
  </si>
  <si>
    <t>von</t>
  </si>
  <si>
    <t>Uhr</t>
  </si>
  <si>
    <t>bis</t>
  </si>
  <si>
    <t>Kurz</t>
  </si>
  <si>
    <t>GF</t>
  </si>
  <si>
    <t>31. EHu</t>
  </si>
  <si>
    <t>32. EHu</t>
  </si>
  <si>
    <t>33. EHu</t>
  </si>
  <si>
    <t>34. EHu</t>
  </si>
  <si>
    <t>35. EHu</t>
  </si>
  <si>
    <t>36. EHu</t>
  </si>
  <si>
    <t>Geschütze Freizeit</t>
  </si>
  <si>
    <t>Fortbildung</t>
  </si>
  <si>
    <t>Bemerkungen</t>
  </si>
  <si>
    <t>sachlich richtig:</t>
  </si>
  <si>
    <t>Rechnerisch richtig und Dateneingabe:</t>
  </si>
  <si>
    <t>Datenprüfung:</t>
  </si>
  <si>
    <t>Datum / Name / Unterschrift</t>
  </si>
  <si>
    <t/>
  </si>
  <si>
    <t>2.0x089</t>
  </si>
  <si>
    <t>BeDo</t>
  </si>
  <si>
    <t>E-Anzug</t>
  </si>
  <si>
    <t>E-Anzug blau</t>
  </si>
  <si>
    <t>Zivil</t>
  </si>
  <si>
    <t>Uniforl/Zivil</t>
  </si>
  <si>
    <t>Sani</t>
  </si>
  <si>
    <t>Ramme</t>
  </si>
  <si>
    <t>Bedo</t>
  </si>
  <si>
    <t>RSG</t>
  </si>
  <si>
    <t>MP5/RSG</t>
  </si>
  <si>
    <t>AAK</t>
  </si>
  <si>
    <t>Amok-Tasche</t>
  </si>
  <si>
    <t>anwesend</t>
  </si>
  <si>
    <t>verfügbar</t>
  </si>
  <si>
    <t>1. Gruppe</t>
  </si>
  <si>
    <t>2. Gruppe</t>
  </si>
  <si>
    <t>3. Gruppe</t>
  </si>
  <si>
    <t>4. Gruppe</t>
  </si>
  <si>
    <t>Dienstbeginn:</t>
  </si>
  <si>
    <t>Dienstanzug:</t>
  </si>
  <si>
    <t>Abfahrt:</t>
  </si>
  <si>
    <t>MOZ:</t>
  </si>
  <si>
    <t>Anlass:</t>
  </si>
  <si>
    <t>Stärke:</t>
  </si>
  <si>
    <t>Bemerkung:</t>
  </si>
  <si>
    <t>\\map-file-0680\DirE\Dir E 2. BPA\21. EHu\Täglicher Dienst\01 Dienstplanung\02 Datenbank\Datensicherung\</t>
  </si>
  <si>
    <t>\\map-file-0680\DirE\Dir E 2. BPA\21. EHu\Täglicher Dienst\01 Dienstplanung\02 Datenbank\personal_sdb.mdb</t>
  </si>
  <si>
    <t>\\map-file-0680\DirE\Dir E 2. BPA\21. EHu\Täglicher Dienst\01 Dienstplanung\02 Datenbank\</t>
  </si>
  <si>
    <t>\\map-file-0680\DirE\Dir E 2. BPA\21. EHu\Täglicher Dienst\01 Dienstplanung\01 Dokumente\Dienstpläne\</t>
  </si>
  <si>
    <t>\\map-file-0680\DirE\Dir E 2. BPA\21. EHu\Täglicher Dienst\01 Dienstplanung\01 Dokumente\Gruppengliederung\</t>
  </si>
  <si>
    <t>\\map-file-0680\DirE\Dir E 2. BPA\21. EHu\Täglicher Dienst\01 Dienstplanung\01 Dokumente\Vorausstärke\</t>
  </si>
  <si>
    <t>Zugführer</t>
  </si>
  <si>
    <t>Gruppenführer</t>
  </si>
  <si>
    <t>Mannschaft</t>
  </si>
  <si>
    <t>Praktikanten</t>
  </si>
  <si>
    <t>2. Zug</t>
  </si>
  <si>
    <t>Kabat, St.</t>
  </si>
  <si>
    <t>Kunze, Ni.</t>
  </si>
  <si>
    <t>Pagel, Di.</t>
  </si>
  <si>
    <t>Götz, Ph.</t>
  </si>
  <si>
    <t>Nitt, Is.</t>
  </si>
  <si>
    <t>Ketels, Ju.</t>
  </si>
  <si>
    <t>Fechner, Ul.</t>
  </si>
  <si>
    <t>Tarant, Ca.</t>
  </si>
  <si>
    <t>Rübner, Fe.</t>
  </si>
  <si>
    <t>Butuci, Be.</t>
  </si>
  <si>
    <t>Deblitz, Ro.</t>
  </si>
  <si>
    <t>Schildroth, Sv.</t>
  </si>
  <si>
    <t>Wilinski, Im.</t>
  </si>
  <si>
    <t>Schlumbohm, Be.</t>
  </si>
  <si>
    <t>Awadallah, Ra.</t>
  </si>
  <si>
    <t>Hänisch, Pa.</t>
  </si>
  <si>
    <t>Forster, St.</t>
  </si>
  <si>
    <t>Hoffmann, Mi.</t>
  </si>
  <si>
    <t>Polat, Ed.</t>
  </si>
  <si>
    <t>Benscheck, Da.</t>
  </si>
  <si>
    <t>Herrmann, Ph.</t>
  </si>
  <si>
    <t>Beeck, Du.</t>
  </si>
  <si>
    <t>Schmidt, Al.</t>
  </si>
  <si>
    <t>Kuß, St.</t>
  </si>
  <si>
    <t>Schröder, Ma.</t>
  </si>
  <si>
    <t>Wiedemann, Ma.</t>
  </si>
  <si>
    <t>Waga, Ni.</t>
  </si>
  <si>
    <t>Stehr, Al.</t>
  </si>
  <si>
    <t>Pfau, Se.</t>
  </si>
  <si>
    <t>Beranek, Ma.</t>
  </si>
  <si>
    <t>Zgf</t>
  </si>
  <si>
    <t>Zgf (V)</t>
  </si>
  <si>
    <t>Grf</t>
  </si>
  <si>
    <t>Funk</t>
  </si>
  <si>
    <t>Decke/FL</t>
  </si>
  <si>
    <t>Grf(V)</t>
  </si>
  <si>
    <t>KF/AS/HS</t>
  </si>
  <si>
    <t>E-Tasche</t>
  </si>
  <si>
    <t>RSG/MP5</t>
  </si>
  <si>
    <t>Gruppengliederung 2. Zug</t>
  </si>
  <si>
    <t>2121R</t>
  </si>
  <si>
    <t>2122R</t>
  </si>
  <si>
    <t>2123R</t>
  </si>
  <si>
    <t>Berechnung der Vorausstärken des 2. Zug</t>
  </si>
  <si>
    <t>PMA, Ergenc, Ca.</t>
  </si>
  <si>
    <t>PMA'in, Altmis, Ay.</t>
  </si>
  <si>
    <t>PMA'in, Hauth, Ra.</t>
  </si>
  <si>
    <t>U</t>
  </si>
  <si>
    <t>S</t>
  </si>
  <si>
    <t>X</t>
  </si>
  <si>
    <t>Adv</t>
  </si>
  <si>
    <t>A</t>
  </si>
  <si>
    <t>Elt</t>
  </si>
  <si>
    <t>Statistik</t>
  </si>
  <si>
    <t>Im Dienst:</t>
  </si>
  <si>
    <t>Krank:</t>
  </si>
  <si>
    <t>Urlaub:</t>
  </si>
  <si>
    <t>Dienstausgleich:</t>
  </si>
  <si>
    <t>AdV Fortbildung:</t>
  </si>
  <si>
    <t>AdV sonstige:</t>
  </si>
  <si>
    <t>Sonstige Abwesenheiten:</t>
  </si>
  <si>
    <t>Gesamt abwesende Dienstkräfte:</t>
  </si>
  <si>
    <t>Dienstantritte</t>
  </si>
  <si>
    <t>Urlaub Sch</t>
  </si>
  <si>
    <t>Urlaub KT</t>
  </si>
  <si>
    <t>Kr</t>
  </si>
  <si>
    <t>1/16</t>
  </si>
  <si>
    <t>PMA, Hamel, Fe.</t>
  </si>
  <si>
    <t>PKA'in, Volkmann, Je.</t>
  </si>
  <si>
    <t>2. Quartal</t>
  </si>
  <si>
    <t>April</t>
  </si>
  <si>
    <t>Mai</t>
  </si>
  <si>
    <t>Juni</t>
  </si>
  <si>
    <t>ZU</t>
  </si>
  <si>
    <t>DA 2</t>
  </si>
  <si>
    <t>AZV</t>
  </si>
  <si>
    <t>DA 1</t>
  </si>
  <si>
    <t>DA 3</t>
  </si>
  <si>
    <t>SU</t>
  </si>
  <si>
    <t>A&gt;4</t>
  </si>
  <si>
    <t>LKA</t>
  </si>
  <si>
    <t>Beschäftigungsverbot</t>
  </si>
  <si>
    <t>1/14</t>
  </si>
  <si>
    <t>1/13</t>
  </si>
  <si>
    <t>02.07.18</t>
  </si>
  <si>
    <t>0/14</t>
  </si>
  <si>
    <t>27 KT / 16 Sch - 21.06.18</t>
  </si>
  <si>
    <t>28 KT / 16 Sch - 29.06.18</t>
  </si>
  <si>
    <t>26 KT / 14 Sch - 29.06.18</t>
  </si>
  <si>
    <t>19 KT / 11 Sch - 29.06.18</t>
  </si>
  <si>
    <t>Dienstplan - 2. Zug</t>
  </si>
  <si>
    <t xml:space="preserve">13.06.2018 / Bu: </t>
  </si>
  <si>
    <t>Donnerstag, 14. Juni 2018</t>
  </si>
  <si>
    <t>1/16 + 2</t>
  </si>
  <si>
    <t>16 KT / 8 Sch - 29.06.18</t>
  </si>
  <si>
    <t>29KT / 17Sch - 30.06.18</t>
  </si>
  <si>
    <t>1 KT / 1 Sch - 14.06.18</t>
  </si>
  <si>
    <t>Bu: 13.06.2018 13:56</t>
  </si>
  <si>
    <t>Bu: 13.06.2018 14:04</t>
  </si>
  <si>
    <t>Dienstag, 19. Juni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</si>
</sst>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0&quot;:&quot;00"/>
    <numFmt numFmtId="165" formatCode="0\ &quot;min&quot;"/>
    <numFmt numFmtId="166" formatCode="00&quot; Wo.&quot;"/>
    <numFmt numFmtId="167" formatCode="dd\.mm\.yy"/>
    <numFmt numFmtId="168" formatCode="dd"/>
    <numFmt numFmtId="169" formatCode="[h]:mm"/>
    <numFmt numFmtId="170" formatCode="h:mm;@"/>
  </numFmts>
  <fonts count="56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9"/>
      <name val="Arial"/>
      <family val="2"/>
    </font>
    <font>
      <sz val="12"/>
      <name val="Times New Roman"/>
      <family val="1"/>
    </font>
    <font>
      <b/>
      <sz val="9"/>
      <color indexed="18"/>
      <name val="Arial"/>
      <family val="2"/>
    </font>
    <font>
      <b/>
      <sz val="9"/>
      <name val="Arial"/>
      <family val="2"/>
    </font>
    <font>
      <b/>
      <sz val="9"/>
      <color indexed="8"/>
      <name val="Arial"/>
      <family val="2"/>
    </font>
    <font>
      <b/>
      <sz val="9"/>
      <color indexed="10"/>
      <name val="Arial"/>
      <family val="2"/>
    </font>
    <font>
      <b/>
      <sz val="9"/>
      <color theme="0" tint="-0.249977111117893"/>
      <name val="Arial"/>
      <family val="2"/>
    </font>
    <font>
      <sz val="7"/>
      <color theme="1"/>
      <name val="Arial"/>
      <family val="2"/>
    </font>
    <font>
      <sz val="11"/>
      <name val="Arial"/>
      <family val="2"/>
    </font>
    <font>
      <sz val="11"/>
      <color rgb="FFFF0000"/>
      <name val="Arial"/>
      <family val="2"/>
    </font>
    <font>
      <b/>
      <sz val="11"/>
      <color rgb="FFFF0000"/>
      <name val="Arial"/>
      <family val="2"/>
    </font>
    <font>
      <strike/>
      <sz val="11"/>
      <name val="Arial"/>
      <family val="2"/>
    </font>
    <font>
      <sz val="18"/>
      <color theme="1"/>
      <name val="Arial"/>
      <family val="2"/>
    </font>
    <font>
      <b/>
      <sz val="18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b/>
      <sz val="14"/>
      <name val="Arial"/>
      <family val="2"/>
    </font>
    <font>
      <sz val="11"/>
      <color theme="0"/>
      <name val="Arial"/>
      <family val="2"/>
    </font>
    <font>
      <u/>
      <sz val="9"/>
      <name val="Arial"/>
      <family val="2"/>
    </font>
    <font>
      <b/>
      <sz val="16"/>
      <color indexed="10"/>
      <name val="Arial"/>
      <family val="2"/>
    </font>
    <font>
      <b/>
      <u/>
      <sz val="12"/>
      <color theme="1"/>
      <name val="Arial"/>
      <family val="2"/>
    </font>
    <font>
      <b/>
      <sz val="22"/>
      <color rgb="FFFFFFFF"/>
      <name val="Arial"/>
      <family val="2"/>
    </font>
    <font>
      <b/>
      <sz val="11"/>
      <color theme="4" tint="-0.499984740745262"/>
      <name val="Arial"/>
      <family val="2"/>
    </font>
    <font>
      <b/>
      <sz val="18"/>
      <color theme="0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16"/>
      <color theme="1"/>
      <name val="Arial"/>
      <family val="2"/>
    </font>
    <font>
      <b/>
      <sz val="18"/>
      <color theme="1"/>
      <name val="Arial"/>
      <family val="2"/>
    </font>
    <font>
      <b/>
      <sz val="9"/>
      <color rgb="FFFF0000"/>
      <name val="Arial"/>
      <family val="2"/>
    </font>
    <font>
      <sz val="11"/>
      <color theme="3" tint="0.39997558519241921"/>
      <name val="Arial"/>
      <family val="2"/>
    </font>
    <font>
      <b/>
      <sz val="11"/>
      <name val="Arial"/>
      <family val="2"/>
    </font>
    <font>
      <b/>
      <sz val="10"/>
      <color indexed="22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17"/>
      <name val="Arial"/>
      <family val="2"/>
    </font>
    <font>
      <strike/>
      <sz val="10"/>
      <color indexed="22"/>
      <name val="Arial"/>
      <family val="2"/>
    </font>
    <font>
      <b/>
      <sz val="10"/>
      <color indexed="8"/>
      <name val="Arial"/>
      <family val="2"/>
    </font>
    <font>
      <b/>
      <sz val="16"/>
      <color theme="1"/>
      <name val="Arial"/>
      <family val="2"/>
    </font>
    <font>
      <b/>
      <sz val="16"/>
      <color rgb="FF030000"/>
      <name val="Arial"/>
      <family val="2"/>
    </font>
    <font>
      <u/>
      <sz val="10"/>
      <color theme="1"/>
      <name val="Arial"/>
      <family val="2"/>
    </font>
    <font>
      <sz val="9"/>
      <color theme="1"/>
      <name val="Arial"/>
      <family val="2"/>
    </font>
    <font>
      <b/>
      <sz val="12"/>
      <color rgb="FF808080"/>
      <name val="Arial"/>
      <family val="2"/>
    </font>
    <font>
      <b/>
      <sz val="10"/>
      <color rgb="FF808080"/>
      <name val="Arial"/>
      <family val="2"/>
    </font>
    <font>
      <sz val="10"/>
      <color rgb="FF808080"/>
      <name val="Arial"/>
      <family val="2"/>
    </font>
    <font>
      <sz val="8"/>
      <color indexed="81"/>
      <name val="Segoe UI"/>
      <family val="2"/>
    </font>
    <font>
      <b/>
      <sz val="10"/>
      <color rgb="FF000000"/>
      <name val="Arial"/>
      <family val="2"/>
    </font>
    <font>
      <b/>
      <sz val="10"/>
      <color rgb="FFC65911"/>
      <name val="Arial"/>
      <family val="2"/>
    </font>
    <font>
      <b/>
      <sz val="8"/>
      <color indexed="81"/>
      <name val="Segoe UI"/>
      <family val="2"/>
    </font>
    <font>
      <sz val="10"/>
      <color rgb="FF000000"/>
      <name val="Arial"/>
      <family val="2"/>
    </font>
    <font>
      <b/>
      <sz val="12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DCDCD"/>
        <bgColor indexed="64"/>
      </patternFill>
    </fill>
    <fill>
      <patternFill patternType="solid">
        <fgColor rgb="FF333F4F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ACB9CA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C896"/>
        <bgColor indexed="64"/>
      </patternFill>
    </fill>
  </fills>
  <borders count="82">
    <border>
      <left/>
      <right/>
      <top/>
      <bottom/>
      <diagonal/>
    </border>
    <border>
      <left/>
      <right/>
      <top/>
      <bottom style="thick">
        <color theme="5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ck">
        <color rgb="FFC6591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thick">
        <color rgb="FFC6591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969696"/>
      </left>
      <right/>
      <top/>
      <bottom/>
      <diagonal/>
    </border>
    <border>
      <left/>
      <right style="thick">
        <color rgb="FF969696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rgb="FF969696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969696"/>
      </left>
      <right/>
      <top/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ck">
        <color rgb="FF969696"/>
      </right>
      <top style="double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/>
      <bottom style="thick">
        <color rgb="FFC65911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 style="double">
        <color indexed="64"/>
      </top>
      <bottom style="thin">
        <color indexed="64"/>
      </bottom>
      <diagonal/>
    </border>
  </borders>
  <cellStyleXfs count="7">
    <xf numFmtId="0" fontId="0" fillId="0" borderId="0"/>
    <xf numFmtId="0" fontId="3" fillId="0" borderId="0">
      <protection locked="0"/>
    </xf>
    <xf numFmtId="2" fontId="3" fillId="0" borderId="0"/>
    <xf numFmtId="0" fontId="3" fillId="0" borderId="0">
      <protection locked="0"/>
    </xf>
    <xf numFmtId="0" fontId="3" fillId="0" borderId="0">
      <protection locked="0"/>
    </xf>
    <xf numFmtId="0" fontId="4" fillId="0" borderId="0"/>
    <xf numFmtId="0" fontId="27" fillId="0" borderId="0"/>
  </cellStyleXfs>
  <cellXfs count="327">
    <xf numFmtId="0" fontId="0" fillId="0" borderId="0" xfId="0"/>
    <xf numFmtId="0" fontId="1" fillId="0" borderId="0" xfId="0" applyFont="1"/>
    <xf numFmtId="49" fontId="6" fillId="2" borderId="2" xfId="3" applyNumberFormat="1" applyFont="1" applyFill="1" applyBorder="1" applyAlignment="1">
      <alignment horizontal="center" vertical="center"/>
      <protection locked="0"/>
    </xf>
    <xf numFmtId="0" fontId="1" fillId="4" borderId="0" xfId="0" applyFont="1" applyFill="1"/>
    <xf numFmtId="1" fontId="1" fillId="0" borderId="0" xfId="0" applyNumberFormat="1" applyFont="1"/>
    <xf numFmtId="14" fontId="6" fillId="0" borderId="10" xfId="4" applyNumberFormat="1" applyFont="1" applyFill="1" applyBorder="1" applyAlignment="1">
      <alignment horizontal="center"/>
      <protection locked="0"/>
    </xf>
    <xf numFmtId="0" fontId="1" fillId="4" borderId="0" xfId="0" applyFont="1" applyFill="1" applyBorder="1"/>
    <xf numFmtId="0" fontId="1" fillId="4" borderId="0" xfId="0" applyFont="1" applyFill="1" applyBorder="1" applyAlignment="1">
      <alignment horizontal="center" vertical="center"/>
    </xf>
    <xf numFmtId="0" fontId="13" fillId="4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/>
    </xf>
    <xf numFmtId="14" fontId="1" fillId="4" borderId="0" xfId="0" applyNumberFormat="1" applyFont="1" applyFill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 vertical="center"/>
    </xf>
    <xf numFmtId="1" fontId="1" fillId="0" borderId="0" xfId="0" applyNumberFormat="1" applyFont="1" applyFill="1" applyBorder="1" applyAlignment="1">
      <alignment horizontal="center" vertical="center"/>
    </xf>
    <xf numFmtId="0" fontId="1" fillId="0" borderId="0" xfId="0" quotePrefix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2" fontId="21" fillId="0" borderId="0" xfId="2" applyFont="1" applyAlignment="1"/>
    <xf numFmtId="2" fontId="3" fillId="0" borderId="0" xfId="2" applyFont="1"/>
    <xf numFmtId="2" fontId="3" fillId="0" borderId="0" xfId="2" quotePrefix="1" applyFont="1" applyFill="1" applyBorder="1" applyAlignment="1"/>
    <xf numFmtId="0" fontId="1" fillId="2" borderId="0" xfId="0" applyFont="1" applyFill="1" applyProtection="1">
      <protection hidden="1"/>
    </xf>
    <xf numFmtId="0" fontId="20" fillId="3" borderId="0" xfId="0" applyFont="1" applyFill="1" applyBorder="1" applyProtection="1">
      <protection hidden="1"/>
    </xf>
    <xf numFmtId="0" fontId="20" fillId="3" borderId="1" xfId="0" applyFont="1" applyFill="1" applyBorder="1" applyProtection="1">
      <protection hidden="1"/>
    </xf>
    <xf numFmtId="0" fontId="1" fillId="2" borderId="0" xfId="0" applyFont="1" applyFill="1" applyBorder="1" applyProtection="1">
      <protection hidden="1"/>
    </xf>
    <xf numFmtId="0" fontId="2" fillId="2" borderId="0" xfId="0" applyFont="1" applyFill="1" applyBorder="1" applyAlignment="1" applyProtection="1">
      <alignment horizontal="right" vertical="center" indent="1"/>
      <protection hidden="1"/>
    </xf>
    <xf numFmtId="0" fontId="13" fillId="2" borderId="0" xfId="0" applyFont="1" applyFill="1" applyBorder="1" applyAlignment="1" applyProtection="1">
      <alignment horizontal="left" vertical="center"/>
      <protection hidden="1"/>
    </xf>
    <xf numFmtId="0" fontId="2" fillId="2" borderId="0" xfId="0" applyFont="1" applyFill="1" applyBorder="1" applyAlignment="1" applyProtection="1">
      <alignment horizontal="right" indent="1"/>
      <protection hidden="1"/>
    </xf>
    <xf numFmtId="0" fontId="1" fillId="2" borderId="0" xfId="0" applyFont="1" applyFill="1" applyBorder="1" applyAlignment="1" applyProtection="1">
      <alignment horizontal="left" vertical="center"/>
      <protection hidden="1"/>
    </xf>
    <xf numFmtId="0" fontId="1" fillId="2" borderId="0" xfId="0" applyFont="1" applyFill="1" applyBorder="1" applyAlignment="1" applyProtection="1">
      <alignment horizontal="right" vertical="center" indent="1"/>
      <protection hidden="1"/>
    </xf>
    <xf numFmtId="0" fontId="25" fillId="2" borderId="0" xfId="0" applyFont="1" applyFill="1" applyBorder="1" applyAlignment="1" applyProtection="1">
      <alignment horizontal="left" vertical="center"/>
      <protection hidden="1"/>
    </xf>
    <xf numFmtId="14" fontId="1" fillId="2" borderId="0" xfId="0" applyNumberFormat="1" applyFont="1" applyFill="1" applyBorder="1" applyAlignment="1" applyProtection="1">
      <alignment horizontal="left" vertical="center"/>
      <protection hidden="1"/>
    </xf>
    <xf numFmtId="20" fontId="1" fillId="2" borderId="0" xfId="0" applyNumberFormat="1" applyFont="1" applyFill="1" applyBorder="1" applyAlignment="1" applyProtection="1">
      <alignment horizontal="left"/>
      <protection hidden="1"/>
    </xf>
    <xf numFmtId="0" fontId="1" fillId="2" borderId="0" xfId="0" applyFont="1" applyFill="1" applyAlignment="1" applyProtection="1">
      <alignment vertical="center"/>
      <protection hidden="1"/>
    </xf>
    <xf numFmtId="0" fontId="1" fillId="2" borderId="0" xfId="0" applyFont="1" applyFill="1" applyAlignment="1" applyProtection="1">
      <alignment horizontal="right" vertical="center" indent="1"/>
      <protection hidden="1"/>
    </xf>
    <xf numFmtId="0" fontId="2" fillId="2" borderId="0" xfId="0" applyFont="1" applyFill="1" applyAlignment="1" applyProtection="1">
      <alignment horizontal="right" vertical="center" indent="1"/>
      <protection hidden="1"/>
    </xf>
    <xf numFmtId="0" fontId="1" fillId="2" borderId="0" xfId="0" applyFont="1" applyFill="1" applyAlignment="1" applyProtection="1">
      <alignment horizontal="center" vertical="center"/>
      <protection hidden="1"/>
    </xf>
    <xf numFmtId="0" fontId="1" fillId="2" borderId="24" xfId="0" applyFont="1" applyFill="1" applyBorder="1" applyProtection="1">
      <protection hidden="1"/>
    </xf>
    <xf numFmtId="14" fontId="1" fillId="2" borderId="0" xfId="0" applyNumberFormat="1" applyFont="1" applyFill="1" applyBorder="1" applyAlignment="1" applyProtection="1">
      <alignment horizontal="left"/>
      <protection hidden="1"/>
    </xf>
    <xf numFmtId="0" fontId="31" fillId="0" borderId="0" xfId="0" applyFont="1" applyAlignment="1" applyProtection="1">
      <alignment horizontal="right" vertical="top"/>
    </xf>
    <xf numFmtId="0" fontId="30" fillId="0" borderId="0" xfId="0" applyFont="1" applyAlignment="1" applyProtection="1">
      <alignment horizontal="left" vertical="center"/>
    </xf>
    <xf numFmtId="0" fontId="30" fillId="0" borderId="0" xfId="0" applyFont="1" applyAlignment="1" applyProtection="1">
      <alignment horizontal="right" vertical="center"/>
    </xf>
    <xf numFmtId="0" fontId="29" fillId="8" borderId="32" xfId="0" applyFont="1" applyFill="1" applyBorder="1" applyAlignment="1" applyProtection="1">
      <alignment horizontal="center" vertical="center"/>
    </xf>
    <xf numFmtId="0" fontId="29" fillId="8" borderId="28" xfId="0" applyFont="1" applyFill="1" applyBorder="1" applyAlignment="1" applyProtection="1">
      <alignment horizontal="center" vertical="center"/>
    </xf>
    <xf numFmtId="0" fontId="29" fillId="8" borderId="33" xfId="0" applyFont="1" applyFill="1" applyBorder="1" applyAlignment="1" applyProtection="1">
      <alignment horizontal="center" vertical="center"/>
    </xf>
    <xf numFmtId="0" fontId="28" fillId="8" borderId="35" xfId="0" applyFont="1" applyFill="1" applyBorder="1" applyAlignment="1" applyProtection="1">
      <alignment horizontal="right" vertical="center" indent="1"/>
    </xf>
    <xf numFmtId="167" fontId="28" fillId="8" borderId="0" xfId="0" applyNumberFormat="1" applyFont="1" applyFill="1" applyBorder="1" applyAlignment="1" applyProtection="1">
      <alignment horizontal="right" vertical="center" indent="1"/>
    </xf>
    <xf numFmtId="167" fontId="28" fillId="8" borderId="36" xfId="0" applyNumberFormat="1" applyFont="1" applyFill="1" applyBorder="1" applyAlignment="1" applyProtection="1">
      <alignment horizontal="right" vertical="center" indent="1"/>
    </xf>
    <xf numFmtId="0" fontId="29" fillId="12" borderId="39" xfId="0" applyFont="1" applyFill="1" applyBorder="1" applyAlignment="1" applyProtection="1">
      <alignment horizontal="center" vertical="center"/>
    </xf>
    <xf numFmtId="0" fontId="29" fillId="12" borderId="40" xfId="0" applyFont="1" applyFill="1" applyBorder="1" applyAlignment="1" applyProtection="1">
      <alignment horizontal="center" vertical="center"/>
    </xf>
    <xf numFmtId="0" fontId="29" fillId="13" borderId="39" xfId="0" applyFont="1" applyFill="1" applyBorder="1" applyAlignment="1" applyProtection="1">
      <alignment horizontal="center" vertical="center"/>
    </xf>
    <xf numFmtId="0" fontId="29" fillId="13" borderId="40" xfId="0" applyFont="1" applyFill="1" applyBorder="1" applyAlignment="1" applyProtection="1">
      <alignment horizontal="center" vertical="center"/>
    </xf>
    <xf numFmtId="0" fontId="29" fillId="12" borderId="44" xfId="0" applyFont="1" applyFill="1" applyBorder="1" applyAlignment="1" applyProtection="1">
      <alignment horizontal="center" vertical="center"/>
    </xf>
    <xf numFmtId="0" fontId="29" fillId="13" borderId="44" xfId="0" applyFont="1" applyFill="1" applyBorder="1" applyAlignment="1" applyProtection="1">
      <alignment horizontal="center" vertical="center"/>
    </xf>
    <xf numFmtId="0" fontId="29" fillId="0" borderId="0" xfId="0" applyFont="1" applyAlignment="1" applyProtection="1">
      <alignment horizontal="right" vertical="center"/>
    </xf>
    <xf numFmtId="0" fontId="30" fillId="0" borderId="44" xfId="0" applyFont="1" applyBorder="1" applyAlignment="1" applyProtection="1">
      <alignment horizontal="right" vertical="center"/>
    </xf>
    <xf numFmtId="0" fontId="30" fillId="0" borderId="44" xfId="0" applyFont="1" applyBorder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left" vertical="center"/>
    </xf>
    <xf numFmtId="0" fontId="29" fillId="0" borderId="51" xfId="0" applyFont="1" applyBorder="1" applyAlignment="1" applyProtection="1">
      <alignment horizontal="center" vertical="center"/>
    </xf>
    <xf numFmtId="0" fontId="29" fillId="0" borderId="44" xfId="0" applyFont="1" applyBorder="1" applyAlignment="1" applyProtection="1">
      <alignment horizontal="center" vertical="center"/>
    </xf>
    <xf numFmtId="0" fontId="29" fillId="0" borderId="25" xfId="0" applyFont="1" applyBorder="1" applyAlignment="1" applyProtection="1">
      <alignment horizontal="left" indent="1"/>
    </xf>
    <xf numFmtId="0" fontId="29" fillId="0" borderId="31" xfId="0" applyFont="1" applyBorder="1" applyAlignment="1" applyProtection="1">
      <alignment horizontal="left" indent="1"/>
    </xf>
    <xf numFmtId="0" fontId="29" fillId="0" borderId="56" xfId="0" applyFont="1" applyBorder="1" applyAlignment="1" applyProtection="1">
      <alignment horizontal="left" indent="1"/>
    </xf>
    <xf numFmtId="2" fontId="6" fillId="2" borderId="2" xfId="2" applyFont="1" applyFill="1" applyBorder="1" applyAlignment="1" applyProtection="1">
      <alignment horizontal="center" vertical="center"/>
      <protection hidden="1"/>
    </xf>
    <xf numFmtId="1" fontId="6" fillId="2" borderId="58" xfId="2" applyNumberFormat="1" applyFont="1" applyFill="1" applyBorder="1" applyAlignment="1" applyProtection="1">
      <alignment horizontal="center" vertical="center"/>
      <protection hidden="1"/>
    </xf>
    <xf numFmtId="1" fontId="6" fillId="2" borderId="59" xfId="2" applyNumberFormat="1" applyFont="1" applyFill="1" applyBorder="1" applyAlignment="1" applyProtection="1">
      <alignment horizontal="center" vertical="center"/>
      <protection hidden="1"/>
    </xf>
    <xf numFmtId="1" fontId="6" fillId="2" borderId="60" xfId="2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Protection="1">
      <protection hidden="1"/>
    </xf>
    <xf numFmtId="49" fontId="6" fillId="2" borderId="61" xfId="3" applyNumberFormat="1" applyFont="1" applyFill="1" applyBorder="1" applyAlignment="1" applyProtection="1">
      <alignment horizontal="left" vertical="center"/>
      <protection hidden="1"/>
    </xf>
    <xf numFmtId="0" fontId="6" fillId="2" borderId="62" xfId="3" applyFont="1" applyFill="1" applyBorder="1" applyAlignment="1" applyProtection="1">
      <alignment horizontal="left" vertical="center"/>
      <protection hidden="1"/>
    </xf>
    <xf numFmtId="20" fontId="6" fillId="2" borderId="59" xfId="3" applyNumberFormat="1" applyFont="1" applyFill="1" applyBorder="1" applyAlignment="1" applyProtection="1">
      <alignment horizontal="center" vertical="center"/>
      <protection hidden="1"/>
    </xf>
    <xf numFmtId="0" fontId="6" fillId="2" borderId="59" xfId="3" applyNumberFormat="1" applyFont="1" applyFill="1" applyBorder="1" applyAlignment="1" applyProtection="1">
      <alignment horizontal="center" vertical="center" wrapText="1"/>
      <protection hidden="1"/>
    </xf>
    <xf numFmtId="0" fontId="6" fillId="2" borderId="63" xfId="3" applyFont="1" applyFill="1" applyBorder="1" applyAlignment="1" applyProtection="1">
      <alignment horizontal="center" vertical="center"/>
      <protection hidden="1"/>
    </xf>
    <xf numFmtId="20" fontId="6" fillId="2" borderId="64" xfId="3" applyNumberFormat="1" applyFont="1" applyFill="1" applyBorder="1" applyAlignment="1" applyProtection="1">
      <alignment horizontal="center" vertical="center" wrapText="1"/>
      <protection hidden="1"/>
    </xf>
    <xf numFmtId="20" fontId="6" fillId="2" borderId="65" xfId="3" applyNumberFormat="1" applyFont="1" applyFill="1" applyBorder="1" applyAlignment="1" applyProtection="1">
      <alignment horizontal="center" vertical="center"/>
      <protection hidden="1"/>
    </xf>
    <xf numFmtId="1" fontId="3" fillId="0" borderId="3" xfId="2" applyNumberFormat="1" applyFont="1" applyBorder="1" applyAlignment="1" applyProtection="1">
      <alignment horizontal="center" vertical="center"/>
      <protection hidden="1"/>
    </xf>
    <xf numFmtId="2" fontId="6" fillId="0" borderId="4" xfId="2" quotePrefix="1" applyFont="1" applyBorder="1" applyAlignment="1" applyProtection="1">
      <alignment horizontal="center" vertical="center" wrapText="1"/>
      <protection hidden="1"/>
    </xf>
    <xf numFmtId="2" fontId="6" fillId="0" borderId="5" xfId="2" quotePrefix="1" applyFont="1" applyBorder="1" applyAlignment="1" applyProtection="1">
      <alignment horizontal="center" vertical="center" wrapText="1"/>
      <protection hidden="1"/>
    </xf>
    <xf numFmtId="2" fontId="34" fillId="0" borderId="5" xfId="2" quotePrefix="1" applyFont="1" applyBorder="1" applyAlignment="1" applyProtection="1">
      <alignment horizontal="center" vertical="center" wrapText="1"/>
      <protection hidden="1"/>
    </xf>
    <xf numFmtId="2" fontId="9" fillId="0" borderId="5" xfId="2" quotePrefix="1" applyFont="1" applyFill="1" applyBorder="1" applyAlignment="1" applyProtection="1">
      <alignment horizontal="center" vertical="center" wrapText="1"/>
      <protection hidden="1"/>
    </xf>
    <xf numFmtId="2" fontId="9" fillId="5" borderId="5" xfId="2" quotePrefix="1" applyFont="1" applyFill="1" applyBorder="1" applyAlignment="1" applyProtection="1">
      <alignment horizontal="center" vertical="center" wrapText="1"/>
      <protection hidden="1"/>
    </xf>
    <xf numFmtId="2" fontId="9" fillId="5" borderId="6" xfId="2" quotePrefix="1" applyFont="1" applyFill="1" applyBorder="1" applyAlignment="1" applyProtection="1">
      <alignment horizontal="center" vertical="center" wrapText="1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49" fontId="6" fillId="0" borderId="7" xfId="4" applyNumberFormat="1" applyFont="1" applyFill="1" applyBorder="1" applyAlignment="1" applyProtection="1">
      <alignment horizontal="center" vertical="center"/>
      <protection hidden="1"/>
    </xf>
    <xf numFmtId="0" fontId="6" fillId="0" borderId="8" xfId="4" applyFont="1" applyFill="1" applyBorder="1" applyAlignment="1" applyProtection="1">
      <alignment vertical="center"/>
      <protection hidden="1"/>
    </xf>
    <xf numFmtId="169" fontId="11" fillId="0" borderId="8" xfId="5" applyNumberFormat="1" applyFont="1" applyFill="1" applyBorder="1" applyAlignment="1" applyProtection="1">
      <alignment horizontal="center" vertical="center"/>
      <protection hidden="1"/>
    </xf>
    <xf numFmtId="165" fontId="3" fillId="0" borderId="8" xfId="4" applyNumberFormat="1" applyFont="1" applyFill="1" applyBorder="1" applyAlignment="1" applyProtection="1">
      <alignment vertical="center"/>
      <protection hidden="1"/>
    </xf>
    <xf numFmtId="169" fontId="11" fillId="0" borderId="9" xfId="5" applyNumberFormat="1" applyFont="1" applyFill="1" applyBorder="1" applyAlignment="1" applyProtection="1">
      <alignment horizontal="center" vertical="center"/>
      <protection hidden="1"/>
    </xf>
    <xf numFmtId="0" fontId="35" fillId="0" borderId="66" xfId="0" applyFont="1" applyBorder="1" applyAlignment="1" applyProtection="1">
      <alignment vertical="center"/>
      <protection hidden="1"/>
    </xf>
    <xf numFmtId="166" fontId="35" fillId="0" borderId="8" xfId="0" applyNumberFormat="1" applyFont="1" applyBorder="1" applyAlignment="1" applyProtection="1">
      <alignment horizontal="right" vertical="center"/>
      <protection hidden="1"/>
    </xf>
    <xf numFmtId="0" fontId="35" fillId="0" borderId="9" xfId="0" applyFont="1" applyBorder="1" applyAlignment="1" applyProtection="1">
      <alignment horizontal="center" vertical="center"/>
      <protection hidden="1"/>
    </xf>
    <xf numFmtId="1" fontId="3" fillId="0" borderId="11" xfId="2" applyNumberFormat="1" applyFont="1" applyBorder="1" applyAlignment="1" applyProtection="1">
      <alignment horizontal="center" vertical="center"/>
      <protection hidden="1"/>
    </xf>
    <xf numFmtId="2" fontId="9" fillId="0" borderId="12" xfId="2" quotePrefix="1" applyFont="1" applyBorder="1" applyAlignment="1" applyProtection="1">
      <alignment horizontal="center" vertical="center" wrapText="1"/>
      <protection hidden="1"/>
    </xf>
    <xf numFmtId="2" fontId="7" fillId="0" borderId="13" xfId="2" quotePrefix="1" applyFont="1" applyBorder="1" applyAlignment="1" applyProtection="1">
      <alignment horizontal="center" vertical="center" wrapText="1"/>
      <protection hidden="1"/>
    </xf>
    <xf numFmtId="2" fontId="8" fillId="0" borderId="13" xfId="2" quotePrefix="1" applyFont="1" applyFill="1" applyBorder="1" applyAlignment="1" applyProtection="1">
      <alignment horizontal="center" vertical="center" wrapText="1"/>
      <protection hidden="1"/>
    </xf>
    <xf numFmtId="2" fontId="9" fillId="0" borderId="13" xfId="2" quotePrefix="1" applyFont="1" applyFill="1" applyBorder="1" applyAlignment="1" applyProtection="1">
      <alignment horizontal="center" vertical="center" wrapText="1"/>
      <protection hidden="1"/>
    </xf>
    <xf numFmtId="2" fontId="9" fillId="0" borderId="14" xfId="2" quotePrefix="1" applyFont="1" applyFill="1" applyBorder="1" applyAlignment="1" applyProtection="1">
      <alignment horizontal="center" vertical="center" wrapText="1"/>
      <protection hidden="1"/>
    </xf>
    <xf numFmtId="49" fontId="6" fillId="0" borderId="15" xfId="4" applyNumberFormat="1" applyFont="1" applyFill="1" applyBorder="1" applyAlignment="1" applyProtection="1">
      <alignment horizontal="center" vertical="center"/>
      <protection hidden="1"/>
    </xf>
    <xf numFmtId="0" fontId="6" fillId="0" borderId="13" xfId="4" applyFont="1" applyFill="1" applyBorder="1" applyAlignment="1" applyProtection="1">
      <alignment vertical="center"/>
      <protection hidden="1"/>
    </xf>
    <xf numFmtId="169" fontId="11" fillId="0" borderId="13" xfId="5" applyNumberFormat="1" applyFont="1" applyFill="1" applyBorder="1" applyAlignment="1" applyProtection="1">
      <alignment horizontal="center" vertical="center"/>
      <protection hidden="1"/>
    </xf>
    <xf numFmtId="165" fontId="3" fillId="0" borderId="13" xfId="4" applyNumberFormat="1" applyFont="1" applyFill="1" applyBorder="1" applyAlignment="1" applyProtection="1">
      <alignment vertical="center"/>
      <protection hidden="1"/>
    </xf>
    <xf numFmtId="169" fontId="11" fillId="0" borderId="14" xfId="5" applyNumberFormat="1" applyFont="1" applyFill="1" applyBorder="1" applyAlignment="1" applyProtection="1">
      <alignment horizontal="center" vertical="center"/>
      <protection hidden="1"/>
    </xf>
    <xf numFmtId="0" fontId="35" fillId="0" borderId="15" xfId="0" applyFont="1" applyBorder="1" applyAlignment="1" applyProtection="1">
      <alignment vertical="center"/>
      <protection hidden="1"/>
    </xf>
    <xf numFmtId="166" fontId="35" fillId="0" borderId="13" xfId="0" applyNumberFormat="1" applyFont="1" applyBorder="1" applyAlignment="1" applyProtection="1">
      <alignment horizontal="right" vertical="center"/>
      <protection hidden="1"/>
    </xf>
    <xf numFmtId="0" fontId="35" fillId="0" borderId="14" xfId="0" applyFont="1" applyBorder="1" applyAlignment="1" applyProtection="1">
      <alignment horizontal="center" vertical="center"/>
      <protection hidden="1"/>
    </xf>
    <xf numFmtId="2" fontId="9" fillId="0" borderId="13" xfId="2" quotePrefix="1" applyFont="1" applyBorder="1" applyAlignment="1" applyProtection="1">
      <alignment horizontal="center" vertical="center" wrapText="1"/>
      <protection hidden="1"/>
    </xf>
    <xf numFmtId="2" fontId="7" fillId="0" borderId="13" xfId="2" quotePrefix="1" applyFont="1" applyFill="1" applyBorder="1" applyAlignment="1" applyProtection="1">
      <alignment horizontal="center" vertical="center" wrapText="1"/>
      <protection hidden="1"/>
    </xf>
    <xf numFmtId="49" fontId="8" fillId="0" borderId="15" xfId="4" applyNumberFormat="1" applyFont="1" applyFill="1" applyBorder="1" applyAlignment="1" applyProtection="1">
      <alignment horizontal="center" vertical="center"/>
      <protection hidden="1"/>
    </xf>
    <xf numFmtId="0" fontId="8" fillId="0" borderId="13" xfId="4" applyFont="1" applyFill="1" applyBorder="1" applyAlignment="1" applyProtection="1">
      <alignment vertical="center"/>
      <protection hidden="1"/>
    </xf>
    <xf numFmtId="0" fontId="1" fillId="2" borderId="44" xfId="0" applyFont="1" applyFill="1" applyBorder="1" applyAlignment="1">
      <alignment horizontal="center" vertical="center"/>
    </xf>
    <xf numFmtId="2" fontId="8" fillId="0" borderId="14" xfId="2" quotePrefix="1" applyFont="1" applyFill="1" applyBorder="1" applyAlignment="1" applyProtection="1">
      <alignment horizontal="center" vertical="center" wrapText="1"/>
      <protection hidden="1"/>
    </xf>
    <xf numFmtId="14" fontId="36" fillId="5" borderId="10" xfId="4" applyNumberFormat="1" applyFont="1" applyFill="1" applyBorder="1" applyAlignment="1">
      <alignment horizontal="center"/>
      <protection locked="0"/>
    </xf>
    <xf numFmtId="0" fontId="1" fillId="0" borderId="44" xfId="0" applyFont="1" applyBorder="1" applyAlignment="1">
      <alignment horizontal="center" vertical="center"/>
    </xf>
    <xf numFmtId="2" fontId="7" fillId="0" borderId="14" xfId="2" quotePrefix="1" applyFont="1" applyFill="1" applyBorder="1" applyAlignment="1" applyProtection="1">
      <alignment horizontal="center" vertical="center" wrapText="1"/>
      <protection hidden="1"/>
    </xf>
    <xf numFmtId="2" fontId="8" fillId="0" borderId="12" xfId="2" quotePrefix="1" applyFont="1" applyBorder="1" applyAlignment="1" applyProtection="1">
      <alignment horizontal="center" vertical="center" wrapText="1"/>
      <protection hidden="1"/>
    </xf>
    <xf numFmtId="0" fontId="12" fillId="0" borderId="15" xfId="0" applyFont="1" applyBorder="1" applyAlignment="1" applyProtection="1">
      <alignment vertical="center"/>
      <protection hidden="1"/>
    </xf>
    <xf numFmtId="166" fontId="12" fillId="0" borderId="13" xfId="0" applyNumberFormat="1" applyFont="1" applyBorder="1" applyAlignment="1" applyProtection="1">
      <alignment horizontal="right" vertical="center"/>
      <protection hidden="1"/>
    </xf>
    <xf numFmtId="0" fontId="12" fillId="0" borderId="14" xfId="0" applyFont="1" applyBorder="1" applyAlignment="1" applyProtection="1">
      <alignment horizontal="center" vertical="center"/>
      <protection hidden="1"/>
    </xf>
    <xf numFmtId="2" fontId="7" fillId="0" borderId="12" xfId="2" quotePrefix="1" applyFont="1" applyBorder="1" applyAlignment="1" applyProtection="1">
      <alignment horizontal="center" vertical="center" wrapText="1"/>
      <protection hidden="1"/>
    </xf>
    <xf numFmtId="2" fontId="8" fillId="0" borderId="13" xfId="2" quotePrefix="1" applyFont="1" applyBorder="1" applyAlignment="1" applyProtection="1">
      <alignment horizontal="center" vertical="center" wrapText="1"/>
      <protection hidden="1"/>
    </xf>
    <xf numFmtId="0" fontId="1" fillId="5" borderId="44" xfId="0" applyFont="1" applyFill="1" applyBorder="1" applyAlignment="1">
      <alignment horizontal="center"/>
    </xf>
    <xf numFmtId="0" fontId="1" fillId="0" borderId="44" xfId="0" applyFont="1" applyBorder="1" applyAlignment="1">
      <alignment horizontal="center"/>
    </xf>
    <xf numFmtId="2" fontId="9" fillId="5" borderId="13" xfId="2" quotePrefix="1" applyFont="1" applyFill="1" applyBorder="1" applyAlignment="1" applyProtection="1">
      <alignment horizontal="center" vertical="center" wrapText="1"/>
      <protection hidden="1"/>
    </xf>
    <xf numFmtId="2" fontId="9" fillId="5" borderId="14" xfId="2" quotePrefix="1" applyFont="1" applyFill="1" applyBorder="1" applyAlignment="1" applyProtection="1">
      <alignment horizontal="center" vertical="center" wrapText="1"/>
      <protection hidden="1"/>
    </xf>
    <xf numFmtId="49" fontId="8" fillId="0" borderId="16" xfId="4" applyNumberFormat="1" applyFont="1" applyFill="1" applyBorder="1" applyAlignment="1" applyProtection="1">
      <alignment horizontal="center" vertical="center"/>
      <protection hidden="1"/>
    </xf>
    <xf numFmtId="0" fontId="8" fillId="0" borderId="17" xfId="4" applyFont="1" applyFill="1" applyBorder="1" applyAlignment="1" applyProtection="1">
      <alignment vertical="center"/>
      <protection hidden="1"/>
    </xf>
    <xf numFmtId="0" fontId="1" fillId="6" borderId="44" xfId="0" applyFont="1" applyFill="1" applyBorder="1" applyAlignment="1">
      <alignment horizontal="center" vertical="center"/>
    </xf>
    <xf numFmtId="49" fontId="9" fillId="0" borderId="15" xfId="4" applyNumberFormat="1" applyFont="1" applyFill="1" applyBorder="1" applyAlignment="1" applyProtection="1">
      <alignment horizontal="center" vertical="center"/>
      <protection hidden="1"/>
    </xf>
    <xf numFmtId="0" fontId="9" fillId="0" borderId="13" xfId="4" applyFont="1" applyFill="1" applyBorder="1" applyAlignment="1" applyProtection="1">
      <alignment vertical="center"/>
      <protection hidden="1"/>
    </xf>
    <xf numFmtId="1" fontId="1" fillId="0" borderId="44" xfId="0" applyNumberFormat="1" applyFont="1" applyBorder="1" applyAlignment="1">
      <alignment horizontal="center" vertical="center"/>
    </xf>
    <xf numFmtId="2" fontId="9" fillId="0" borderId="14" xfId="2" quotePrefix="1" applyFont="1" applyBorder="1" applyAlignment="1" applyProtection="1">
      <alignment horizontal="center" vertical="center" wrapText="1"/>
      <protection hidden="1"/>
    </xf>
    <xf numFmtId="0" fontId="11" fillId="0" borderId="15" xfId="0" applyFont="1" applyBorder="1" applyAlignment="1" applyProtection="1">
      <alignment vertical="center"/>
      <protection hidden="1"/>
    </xf>
    <xf numFmtId="166" fontId="1" fillId="0" borderId="13" xfId="0" applyNumberFormat="1" applyFont="1" applyBorder="1" applyAlignment="1" applyProtection="1">
      <alignment horizontal="right" vertical="center"/>
      <protection hidden="1"/>
    </xf>
    <xf numFmtId="0" fontId="1" fillId="0" borderId="14" xfId="0" applyFont="1" applyBorder="1" applyAlignment="1" applyProtection="1">
      <alignment horizontal="center" vertical="center"/>
      <protection hidden="1"/>
    </xf>
    <xf numFmtId="2" fontId="8" fillId="0" borderId="14" xfId="2" quotePrefix="1" applyFont="1" applyBorder="1" applyAlignment="1" applyProtection="1">
      <alignment horizontal="center" vertical="center" wrapText="1"/>
      <protection hidden="1"/>
    </xf>
    <xf numFmtId="2" fontId="7" fillId="0" borderId="14" xfId="2" quotePrefix="1" applyFont="1" applyBorder="1" applyAlignment="1" applyProtection="1">
      <alignment horizontal="center" vertical="center" wrapText="1"/>
      <protection hidden="1"/>
    </xf>
    <xf numFmtId="0" fontId="1" fillId="0" borderId="11" xfId="0" applyFont="1" applyBorder="1" applyAlignment="1" applyProtection="1">
      <alignment horizontal="center" vertical="center"/>
      <protection hidden="1"/>
    </xf>
    <xf numFmtId="0" fontId="1" fillId="0" borderId="12" xfId="0" applyFont="1" applyBorder="1" applyAlignment="1" applyProtection="1">
      <alignment horizontal="center" vertical="center"/>
      <protection hidden="1"/>
    </xf>
    <xf numFmtId="0" fontId="1" fillId="0" borderId="13" xfId="0" applyFont="1" applyBorder="1" applyAlignment="1" applyProtection="1">
      <alignment horizontal="center" vertical="center"/>
      <protection hidden="1"/>
    </xf>
    <xf numFmtId="49" fontId="9" fillId="5" borderId="15" xfId="4" applyNumberFormat="1" applyFont="1" applyFill="1" applyBorder="1" applyAlignment="1" applyProtection="1">
      <alignment horizontal="center" vertical="center"/>
      <protection hidden="1"/>
    </xf>
    <xf numFmtId="0" fontId="9" fillId="5" borderId="17" xfId="4" applyFont="1" applyFill="1" applyBorder="1" applyAlignment="1" applyProtection="1">
      <alignment vertical="center"/>
      <protection hidden="1"/>
    </xf>
    <xf numFmtId="49" fontId="3" fillId="0" borderId="15" xfId="4" applyNumberFormat="1" applyFont="1" applyFill="1" applyBorder="1" applyAlignment="1" applyProtection="1">
      <alignment horizontal="center" vertical="center"/>
      <protection hidden="1"/>
    </xf>
    <xf numFmtId="0" fontId="3" fillId="0" borderId="13" xfId="4" applyFont="1" applyFill="1" applyBorder="1" applyAlignment="1" applyProtection="1">
      <alignment vertical="center"/>
      <protection hidden="1"/>
    </xf>
    <xf numFmtId="164" fontId="11" fillId="0" borderId="13" xfId="5" applyNumberFormat="1" applyFont="1" applyFill="1" applyBorder="1" applyAlignment="1" applyProtection="1">
      <alignment horizontal="center" vertical="center"/>
      <protection hidden="1"/>
    </xf>
    <xf numFmtId="164" fontId="14" fillId="0" borderId="14" xfId="5" applyNumberFormat="1" applyFont="1" applyFill="1" applyBorder="1" applyAlignment="1" applyProtection="1">
      <alignment horizontal="center" vertical="center"/>
      <protection hidden="1"/>
    </xf>
    <xf numFmtId="0" fontId="1" fillId="0" borderId="15" xfId="0" applyFont="1" applyBorder="1" applyAlignment="1" applyProtection="1">
      <alignment vertical="center"/>
      <protection hidden="1"/>
    </xf>
    <xf numFmtId="0" fontId="1" fillId="0" borderId="18" xfId="0" applyFont="1" applyBorder="1" applyAlignment="1" applyProtection="1">
      <alignment horizontal="center" vertical="center"/>
      <protection hidden="1"/>
    </xf>
    <xf numFmtId="0" fontId="1" fillId="0" borderId="19" xfId="0" applyFont="1" applyBorder="1" applyAlignment="1" applyProtection="1">
      <alignment horizontal="center" vertical="center"/>
      <protection hidden="1"/>
    </xf>
    <xf numFmtId="0" fontId="1" fillId="0" borderId="20" xfId="0" applyFont="1" applyBorder="1" applyAlignment="1" applyProtection="1">
      <alignment horizontal="center" vertical="center"/>
      <protection hidden="1"/>
    </xf>
    <xf numFmtId="0" fontId="1" fillId="0" borderId="21" xfId="0" applyFont="1" applyBorder="1" applyAlignment="1" applyProtection="1">
      <alignment horizontal="center" vertical="center"/>
      <protection hidden="1"/>
    </xf>
    <xf numFmtId="49" fontId="3" fillId="0" borderId="22" xfId="4" applyNumberFormat="1" applyFont="1" applyFill="1" applyBorder="1" applyAlignment="1" applyProtection="1">
      <alignment horizontal="center" vertical="center"/>
      <protection hidden="1"/>
    </xf>
    <xf numFmtId="0" fontId="3" fillId="0" borderId="20" xfId="4" applyFont="1" applyFill="1" applyBorder="1" applyAlignment="1" applyProtection="1">
      <alignment vertical="center"/>
      <protection hidden="1"/>
    </xf>
    <xf numFmtId="164" fontId="11" fillId="0" borderId="20" xfId="5" applyNumberFormat="1" applyFont="1" applyFill="1" applyBorder="1" applyAlignment="1" applyProtection="1">
      <alignment horizontal="center" vertical="center"/>
      <protection hidden="1"/>
    </xf>
    <xf numFmtId="165" fontId="3" fillId="0" borderId="20" xfId="4" applyNumberFormat="1" applyFont="1" applyFill="1" applyBorder="1" applyAlignment="1" applyProtection="1">
      <alignment vertical="center"/>
      <protection hidden="1"/>
    </xf>
    <xf numFmtId="164" fontId="14" fillId="0" borderId="21" xfId="5" applyNumberFormat="1" applyFont="1" applyFill="1" applyBorder="1" applyAlignment="1" applyProtection="1">
      <alignment horizontal="center" vertical="center"/>
      <protection hidden="1"/>
    </xf>
    <xf numFmtId="0" fontId="1" fillId="0" borderId="22" xfId="0" applyFont="1" applyBorder="1" applyAlignment="1" applyProtection="1">
      <alignment vertical="center"/>
      <protection hidden="1"/>
    </xf>
    <xf numFmtId="166" fontId="1" fillId="0" borderId="20" xfId="0" applyNumberFormat="1" applyFont="1" applyBorder="1" applyAlignment="1" applyProtection="1">
      <alignment horizontal="right" vertical="center"/>
      <protection hidden="1"/>
    </xf>
    <xf numFmtId="14" fontId="36" fillId="0" borderId="0" xfId="0" quotePrefix="1" applyNumberFormat="1" applyFont="1" applyFill="1" applyBorder="1" applyAlignment="1" applyProtection="1">
      <alignment horizontal="center" vertical="center"/>
      <protection locked="0" hidden="1"/>
    </xf>
    <xf numFmtId="0" fontId="36" fillId="0" borderId="0" xfId="0" quotePrefix="1" applyFont="1" applyFill="1" applyBorder="1" applyAlignment="1" applyProtection="1">
      <alignment horizontal="center" vertical="center"/>
      <protection locked="0" hidden="1"/>
    </xf>
    <xf numFmtId="0" fontId="29" fillId="0" borderId="47" xfId="0" applyFont="1" applyBorder="1" applyAlignment="1" applyProtection="1">
      <alignment horizontal="center" vertical="center"/>
    </xf>
    <xf numFmtId="0" fontId="28" fillId="8" borderId="31" xfId="0" applyFont="1" applyFill="1" applyBorder="1" applyAlignment="1" applyProtection="1">
      <alignment horizontal="right" vertical="center" indent="1"/>
    </xf>
    <xf numFmtId="0" fontId="29" fillId="5" borderId="39" xfId="0" applyFont="1" applyFill="1" applyBorder="1" applyAlignment="1" applyProtection="1">
      <alignment horizontal="center" vertical="center"/>
    </xf>
    <xf numFmtId="0" fontId="29" fillId="5" borderId="44" xfId="0" applyFont="1" applyFill="1" applyBorder="1" applyAlignment="1" applyProtection="1">
      <alignment horizontal="center" vertical="center"/>
    </xf>
    <xf numFmtId="0" fontId="29" fillId="5" borderId="40" xfId="0" applyFont="1" applyFill="1" applyBorder="1" applyAlignment="1" applyProtection="1">
      <alignment horizontal="center" vertical="center"/>
    </xf>
    <xf numFmtId="0" fontId="29" fillId="10" borderId="41" xfId="0" applyFont="1" applyFill="1" applyBorder="1" applyAlignment="1" applyProtection="1">
      <alignment horizontal="center" vertical="center"/>
    </xf>
    <xf numFmtId="0" fontId="29" fillId="10" borderId="42" xfId="0" applyFont="1" applyFill="1" applyBorder="1" applyAlignment="1" applyProtection="1">
      <alignment horizontal="center" vertical="center"/>
    </xf>
    <xf numFmtId="0" fontId="29" fillId="10" borderId="43" xfId="0" applyFont="1" applyFill="1" applyBorder="1" applyAlignment="1" applyProtection="1">
      <alignment horizontal="center" vertical="center"/>
    </xf>
    <xf numFmtId="49" fontId="29" fillId="11" borderId="37" xfId="0" applyNumberFormat="1" applyFont="1" applyFill="1" applyBorder="1" applyAlignment="1" applyProtection="1">
      <alignment horizontal="center" vertical="center"/>
    </xf>
    <xf numFmtId="49" fontId="29" fillId="11" borderId="10" xfId="0" applyNumberFormat="1" applyFont="1" applyFill="1" applyBorder="1" applyAlignment="1" applyProtection="1">
      <alignment horizontal="center" vertical="center"/>
    </xf>
    <xf numFmtId="49" fontId="29" fillId="11" borderId="38" xfId="0" applyNumberFormat="1" applyFont="1" applyFill="1" applyBorder="1" applyAlignment="1" applyProtection="1">
      <alignment horizontal="center" vertical="center"/>
    </xf>
    <xf numFmtId="0" fontId="29" fillId="0" borderId="68" xfId="0" applyFont="1" applyBorder="1" applyAlignment="1" applyProtection="1">
      <alignment horizontal="center" vertical="center"/>
    </xf>
    <xf numFmtId="0" fontId="24" fillId="9" borderId="23" xfId="0" applyFont="1" applyFill="1" applyBorder="1" applyAlignment="1" applyProtection="1">
      <alignment horizontal="left" vertical="center" indent="1"/>
    </xf>
    <xf numFmtId="0" fontId="29" fillId="7" borderId="0" xfId="0" applyFont="1" applyFill="1" applyBorder="1" applyAlignment="1" applyProtection="1">
      <alignment horizontal="center" vertical="center"/>
    </xf>
    <xf numFmtId="20" fontId="31" fillId="0" borderId="0" xfId="0" applyNumberFormat="1" applyFont="1" applyAlignment="1" applyProtection="1">
      <alignment horizontal="center" vertical="center"/>
    </xf>
    <xf numFmtId="170" fontId="0" fillId="0" borderId="0" xfId="0" applyNumberFormat="1"/>
    <xf numFmtId="0" fontId="44" fillId="0" borderId="0" xfId="0" applyFont="1" applyAlignment="1" applyProtection="1">
      <alignment horizontal="center" vertical="center"/>
    </xf>
    <xf numFmtId="0" fontId="43" fillId="0" borderId="0" xfId="0" applyFont="1" applyAlignment="1" applyProtection="1">
      <alignment horizontal="left" vertical="center"/>
    </xf>
    <xf numFmtId="0" fontId="29" fillId="0" borderId="0" xfId="0" applyFont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 vertical="center"/>
    </xf>
    <xf numFmtId="0" fontId="23" fillId="0" borderId="72" xfId="0" applyFont="1" applyBorder="1" applyAlignment="1" applyProtection="1">
      <alignment horizontal="center" vertical="center"/>
      <protection locked="0"/>
    </xf>
    <xf numFmtId="0" fontId="23" fillId="0" borderId="72" xfId="0" applyFont="1" applyBorder="1" applyAlignment="1" applyProtection="1">
      <alignment horizontal="center" vertical="center"/>
    </xf>
    <xf numFmtId="0" fontId="28" fillId="0" borderId="0" xfId="0" applyFont="1" applyAlignment="1" applyProtection="1">
      <alignment horizontal="left"/>
    </xf>
    <xf numFmtId="0" fontId="28" fillId="0" borderId="0" xfId="0" applyFont="1" applyAlignment="1" applyProtection="1">
      <alignment horizontal="left" vertical="center" indent="1"/>
    </xf>
    <xf numFmtId="0" fontId="28" fillId="0" borderId="0" xfId="0" applyFont="1" applyAlignment="1" applyProtection="1">
      <alignment horizontal="left" vertical="center" indent="1"/>
      <protection locked="0"/>
    </xf>
    <xf numFmtId="0" fontId="23" fillId="16" borderId="0" xfId="0" applyFont="1" applyFill="1" applyAlignment="1" applyProtection="1">
      <alignment horizontal="center" vertical="center"/>
    </xf>
    <xf numFmtId="0" fontId="29" fillId="0" borderId="44" xfId="0" applyFont="1" applyBorder="1" applyAlignment="1" applyProtection="1">
      <alignment horizontal="left" vertical="center"/>
      <protection locked="0"/>
    </xf>
    <xf numFmtId="0" fontId="28" fillId="8" borderId="44" xfId="0" applyFont="1" applyFill="1" applyBorder="1" applyAlignment="1" applyProtection="1">
      <alignment horizontal="center" vertical="center"/>
    </xf>
    <xf numFmtId="0" fontId="28" fillId="16" borderId="44" xfId="0" applyFont="1" applyFill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left" vertical="center"/>
      <protection locked="0"/>
    </xf>
    <xf numFmtId="0" fontId="46" fillId="0" borderId="0" xfId="0" applyFont="1" applyAlignment="1" applyProtection="1">
      <alignment horizontal="left" vertical="center"/>
    </xf>
    <xf numFmtId="14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Border="1" applyAlignment="1" applyProtection="1">
      <alignment horizontal="center" vertical="center"/>
    </xf>
    <xf numFmtId="0" fontId="29" fillId="0" borderId="45" xfId="0" applyFont="1" applyBorder="1" applyAlignment="1" applyProtection="1">
      <alignment horizontal="center" vertical="center"/>
    </xf>
    <xf numFmtId="0" fontId="29" fillId="0" borderId="28" xfId="0" applyFont="1" applyBorder="1" applyAlignment="1" applyProtection="1">
      <alignment horizontal="left" indent="1"/>
    </xf>
    <xf numFmtId="0" fontId="29" fillId="0" borderId="74" xfId="0" applyFont="1" applyBorder="1" applyAlignment="1" applyProtection="1">
      <alignment horizontal="left" indent="1"/>
    </xf>
    <xf numFmtId="0" fontId="29" fillId="0" borderId="0" xfId="0" applyFont="1" applyBorder="1" applyAlignment="1" applyProtection="1">
      <alignment horizontal="left" indent="1"/>
    </xf>
    <xf numFmtId="0" fontId="29" fillId="0" borderId="46" xfId="0" applyFont="1" applyBorder="1" applyAlignment="1" applyProtection="1">
      <alignment horizontal="left" indent="1"/>
    </xf>
    <xf numFmtId="0" fontId="29" fillId="0" borderId="68" xfId="0" applyFont="1" applyBorder="1" applyAlignment="1" applyProtection="1">
      <alignment horizontal="left" indent="1"/>
    </xf>
    <xf numFmtId="0" fontId="29" fillId="0" borderId="48" xfId="0" applyFont="1" applyBorder="1" applyAlignment="1" applyProtection="1">
      <alignment horizontal="left" indent="1"/>
    </xf>
    <xf numFmtId="0" fontId="24" fillId="9" borderId="23" xfId="0" applyFont="1" applyFill="1" applyBorder="1" applyAlignment="1" applyProtection="1">
      <alignment horizontal="left" vertical="center" indent="1"/>
    </xf>
    <xf numFmtId="0" fontId="29" fillId="0" borderId="0" xfId="0" applyFont="1" applyBorder="1" applyAlignment="1">
      <alignment horizontal="center" vertical="center"/>
    </xf>
    <xf numFmtId="0" fontId="29" fillId="0" borderId="0" xfId="0" applyFont="1" applyBorder="1" applyAlignment="1" applyProtection="1">
      <alignment horizontal="center" vertical="center"/>
      <protection locked="0"/>
    </xf>
    <xf numFmtId="0" fontId="29" fillId="7" borderId="0" xfId="0" applyFont="1" applyFill="1" applyBorder="1" applyAlignment="1">
      <alignment horizontal="center" vertical="center"/>
    </xf>
    <xf numFmtId="0" fontId="29" fillId="7" borderId="71" xfId="0" applyFont="1" applyFill="1" applyBorder="1" applyAlignment="1">
      <alignment horizontal="center" vertical="center"/>
    </xf>
    <xf numFmtId="0" fontId="29" fillId="0" borderId="71" xfId="0" applyFont="1" applyBorder="1" applyAlignment="1">
      <alignment horizontal="center" vertical="center"/>
    </xf>
    <xf numFmtId="0" fontId="29" fillId="0" borderId="71" xfId="0" applyFont="1" applyBorder="1" applyAlignment="1" applyProtection="1">
      <alignment horizontal="center" vertical="center"/>
      <protection locked="0"/>
    </xf>
    <xf numFmtId="0" fontId="47" fillId="8" borderId="69" xfId="0" applyFont="1" applyFill="1" applyBorder="1" applyAlignment="1">
      <alignment horizontal="center" vertical="center"/>
    </xf>
    <xf numFmtId="0" fontId="47" fillId="8" borderId="73" xfId="0" applyFont="1" applyFill="1" applyBorder="1" applyAlignment="1">
      <alignment horizontal="center" vertical="center"/>
    </xf>
    <xf numFmtId="0" fontId="38" fillId="14" borderId="0" xfId="0" applyFont="1" applyFill="1" applyBorder="1" applyAlignment="1">
      <alignment horizontal="center" vertical="center"/>
    </xf>
    <xf numFmtId="0" fontId="39" fillId="7" borderId="0" xfId="0" applyFont="1" applyFill="1" applyBorder="1" applyAlignment="1">
      <alignment horizontal="center" vertical="center"/>
    </xf>
    <xf numFmtId="0" fontId="39" fillId="7" borderId="71" xfId="0" applyFont="1" applyFill="1" applyBorder="1" applyAlignment="1">
      <alignment horizontal="center" vertical="center"/>
    </xf>
    <xf numFmtId="0" fontId="42" fillId="7" borderId="0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horizontal="center" vertical="center"/>
    </xf>
    <xf numFmtId="0" fontId="40" fillId="7" borderId="0" xfId="0" applyFont="1" applyFill="1" applyBorder="1" applyAlignment="1">
      <alignment horizontal="center" vertical="center"/>
    </xf>
    <xf numFmtId="0" fontId="42" fillId="7" borderId="71" xfId="0" applyFont="1" applyFill="1" applyBorder="1" applyAlignment="1">
      <alignment horizontal="center" vertical="center"/>
    </xf>
    <xf numFmtId="0" fontId="39" fillId="7" borderId="70" xfId="0" applyFont="1" applyFill="1" applyBorder="1" applyAlignment="1">
      <alignment horizontal="center" vertical="center"/>
    </xf>
    <xf numFmtId="0" fontId="41" fillId="7" borderId="70" xfId="0" applyFont="1" applyFill="1" applyBorder="1" applyAlignment="1">
      <alignment horizontal="center" vertical="center"/>
    </xf>
    <xf numFmtId="0" fontId="29" fillId="7" borderId="75" xfId="0" applyFont="1" applyFill="1" applyBorder="1" applyAlignment="1">
      <alignment horizontal="center" vertical="center"/>
    </xf>
    <xf numFmtId="0" fontId="38" fillId="14" borderId="70" xfId="0" applyFont="1" applyFill="1" applyBorder="1" applyAlignment="1">
      <alignment horizontal="center" vertical="center"/>
    </xf>
    <xf numFmtId="0" fontId="42" fillId="7" borderId="70" xfId="0" applyFont="1" applyFill="1" applyBorder="1" applyAlignment="1">
      <alignment horizontal="center" vertical="center"/>
    </xf>
    <xf numFmtId="0" fontId="49" fillId="7" borderId="0" xfId="0" applyFont="1" applyFill="1" applyBorder="1" applyAlignment="1" applyProtection="1">
      <alignment horizontal="center" vertical="center"/>
    </xf>
    <xf numFmtId="0" fontId="48" fillId="7" borderId="0" xfId="0" applyFont="1" applyFill="1" applyBorder="1" applyAlignment="1" applyProtection="1">
      <alignment horizontal="right" vertical="center" indent="1"/>
    </xf>
    <xf numFmtId="0" fontId="49" fillId="7" borderId="0" xfId="0" applyFont="1" applyFill="1" applyBorder="1" applyAlignment="1">
      <alignment horizontal="center" vertical="center"/>
    </xf>
    <xf numFmtId="0" fontId="49" fillId="7" borderId="71" xfId="0" applyFont="1" applyFill="1" applyBorder="1" applyAlignment="1">
      <alignment horizontal="center" vertical="center"/>
    </xf>
    <xf numFmtId="0" fontId="48" fillId="7" borderId="0" xfId="0" applyFont="1" applyFill="1" applyBorder="1" applyAlignment="1" applyProtection="1">
      <alignment horizontal="center" vertical="center"/>
    </xf>
    <xf numFmtId="0" fontId="48" fillId="7" borderId="0" xfId="0" applyFont="1" applyFill="1" applyBorder="1" applyAlignment="1">
      <alignment horizontal="center" vertical="center"/>
    </xf>
    <xf numFmtId="0" fontId="48" fillId="7" borderId="71" xfId="0" applyFont="1" applyFill="1" applyBorder="1" applyAlignment="1">
      <alignment horizontal="center" vertical="center"/>
    </xf>
    <xf numFmtId="0" fontId="48" fillId="8" borderId="76" xfId="0" applyFont="1" applyFill="1" applyBorder="1" applyAlignment="1" applyProtection="1">
      <alignment horizontal="center" vertical="center"/>
    </xf>
    <xf numFmtId="0" fontId="48" fillId="8" borderId="76" xfId="0" applyFont="1" applyFill="1" applyBorder="1" applyAlignment="1" applyProtection="1">
      <alignment horizontal="right" vertical="center" indent="1"/>
    </xf>
    <xf numFmtId="0" fontId="48" fillId="8" borderId="76" xfId="0" applyFont="1" applyFill="1" applyBorder="1" applyAlignment="1">
      <alignment horizontal="center" vertical="center"/>
    </xf>
    <xf numFmtId="0" fontId="48" fillId="8" borderId="77" xfId="0" applyFont="1" applyFill="1" applyBorder="1" applyAlignment="1">
      <alignment horizontal="center" vertical="center"/>
    </xf>
    <xf numFmtId="0" fontId="24" fillId="9" borderId="78" xfId="0" applyFont="1" applyFill="1" applyBorder="1" applyAlignment="1">
      <alignment horizontal="left" vertical="center" indent="1"/>
    </xf>
    <xf numFmtId="0" fontId="29" fillId="7" borderId="79" xfId="0" applyFont="1" applyFill="1" applyBorder="1" applyAlignment="1">
      <alignment horizontal="center" vertical="center"/>
    </xf>
    <xf numFmtId="0" fontId="47" fillId="8" borderId="80" xfId="0" applyFont="1" applyFill="1" applyBorder="1" applyAlignment="1">
      <alignment horizontal="center" vertical="center"/>
    </xf>
    <xf numFmtId="0" fontId="29" fillId="0" borderId="79" xfId="0" applyFont="1" applyBorder="1" applyAlignment="1">
      <alignment horizontal="center" vertical="center"/>
    </xf>
    <xf numFmtId="0" fontId="48" fillId="7" borderId="79" xfId="0" applyFont="1" applyFill="1" applyBorder="1" applyAlignment="1">
      <alignment horizontal="center" vertical="center"/>
    </xf>
    <xf numFmtId="0" fontId="49" fillId="7" borderId="79" xfId="0" applyFont="1" applyFill="1" applyBorder="1" applyAlignment="1">
      <alignment horizontal="center" vertical="center"/>
    </xf>
    <xf numFmtId="0" fontId="48" fillId="8" borderId="81" xfId="0" applyFont="1" applyFill="1" applyBorder="1" applyAlignment="1">
      <alignment horizontal="center" vertical="center"/>
    </xf>
    <xf numFmtId="0" fontId="51" fillId="7" borderId="0" xfId="0" applyFont="1" applyFill="1" applyBorder="1" applyAlignment="1" applyProtection="1">
      <alignment horizontal="right" vertical="center" indent="1"/>
    </xf>
    <xf numFmtId="0" fontId="38" fillId="14" borderId="71" xfId="0" applyFont="1" applyFill="1" applyBorder="1" applyAlignment="1">
      <alignment horizontal="center" vertical="center"/>
    </xf>
    <xf numFmtId="0" fontId="41" fillId="7" borderId="71" xfId="0" applyFont="1" applyFill="1" applyBorder="1" applyAlignment="1">
      <alignment horizontal="center" vertical="center"/>
    </xf>
    <xf numFmtId="0" fontId="39" fillId="17" borderId="0" xfId="0" applyFont="1" applyFill="1" applyBorder="1" applyAlignment="1">
      <alignment horizontal="center" vertical="center"/>
    </xf>
    <xf numFmtId="0" fontId="42" fillId="17" borderId="0" xfId="0" applyFont="1" applyFill="1" applyBorder="1" applyAlignment="1">
      <alignment horizontal="center" vertical="center"/>
    </xf>
    <xf numFmtId="0" fontId="52" fillId="17" borderId="0" xfId="0" applyFont="1" applyFill="1" applyBorder="1" applyAlignment="1" applyProtection="1">
      <alignment horizontal="right" vertical="center" indent="1"/>
    </xf>
    <xf numFmtId="168" fontId="54" fillId="7" borderId="0" xfId="0" applyNumberFormat="1" applyFont="1" applyFill="1" applyBorder="1" applyAlignment="1">
      <alignment horizontal="center" vertical="center"/>
    </xf>
    <xf numFmtId="168" fontId="54" fillId="7" borderId="70" xfId="0" applyNumberFormat="1" applyFont="1" applyFill="1" applyBorder="1" applyAlignment="1">
      <alignment horizontal="center" vertical="center"/>
    </xf>
    <xf numFmtId="168" fontId="54" fillId="7" borderId="71" xfId="0" applyNumberFormat="1" applyFont="1" applyFill="1" applyBorder="1" applyAlignment="1">
      <alignment horizontal="center" vertical="center"/>
    </xf>
    <xf numFmtId="0" fontId="54" fillId="7" borderId="0" xfId="0" applyFont="1" applyFill="1" applyBorder="1" applyAlignment="1">
      <alignment horizontal="center" vertical="center"/>
    </xf>
    <xf numFmtId="168" fontId="52" fillId="17" borderId="0" xfId="0" applyNumberFormat="1" applyFont="1" applyFill="1" applyBorder="1" applyAlignment="1">
      <alignment horizontal="center" vertical="center"/>
    </xf>
    <xf numFmtId="0" fontId="24" fillId="9" borderId="23" xfId="0" applyFont="1" applyFill="1" applyBorder="1" applyAlignment="1">
      <alignment horizontal="left" vertical="center" indent="1"/>
    </xf>
    <xf numFmtId="0" fontId="29" fillId="0" borderId="49" xfId="0" applyFont="1" applyBorder="1" applyAlignment="1" applyProtection="1">
      <alignment horizontal="left" indent="1"/>
    </xf>
    <xf numFmtId="0" fontId="29" fillId="0" borderId="69" xfId="0" applyFont="1" applyBorder="1" applyAlignment="1" applyProtection="1">
      <alignment horizontal="left" indent="1"/>
    </xf>
    <xf numFmtId="0" fontId="29" fillId="0" borderId="50" xfId="0" applyFont="1" applyBorder="1" applyAlignment="1" applyProtection="1">
      <alignment horizontal="left" indent="1"/>
    </xf>
    <xf numFmtId="0" fontId="29" fillId="0" borderId="52" xfId="0" applyFont="1" applyBorder="1" applyAlignment="1" applyProtection="1">
      <alignment horizontal="left" indent="1"/>
    </xf>
    <xf numFmtId="0" fontId="29" fillId="0" borderId="54" xfId="0" applyFont="1" applyBorder="1" applyAlignment="1" applyProtection="1">
      <alignment horizontal="left" indent="1"/>
    </xf>
    <xf numFmtId="0" fontId="29" fillId="0" borderId="55" xfId="0" applyFont="1" applyBorder="1" applyAlignment="1" applyProtection="1">
      <alignment horizontal="left" indent="1"/>
    </xf>
    <xf numFmtId="0" fontId="29" fillId="0" borderId="0" xfId="0" applyFont="1" applyAlignment="1" applyProtection="1">
      <alignment horizontal="center" vertical="center"/>
    </xf>
    <xf numFmtId="0" fontId="24" fillId="9" borderId="23" xfId="0" applyFont="1" applyFill="1" applyBorder="1" applyAlignment="1" applyProtection="1">
      <alignment horizontal="center" vertical="center"/>
    </xf>
    <xf numFmtId="0" fontId="1" fillId="2" borderId="0" xfId="0" applyFont="1" applyFill="1" applyBorder="1" applyAlignment="1" applyProtection="1">
      <alignment horizontal="center" vertical="center"/>
      <protection hidden="1"/>
    </xf>
    <xf numFmtId="0" fontId="1" fillId="2" borderId="0" xfId="0" applyFont="1" applyFill="1" applyAlignment="1" applyProtection="1">
      <alignment horizontal="left" vertical="center"/>
      <protection hidden="1"/>
    </xf>
    <xf numFmtId="0" fontId="28" fillId="7" borderId="67" xfId="0" applyFont="1" applyFill="1" applyBorder="1" applyAlignment="1">
      <alignment horizontal="center" vertical="center" textRotation="90"/>
    </xf>
    <xf numFmtId="0" fontId="28" fillId="7" borderId="0" xfId="0" applyFont="1" applyFill="1" applyBorder="1" applyAlignment="1">
      <alignment horizontal="center" vertical="center" textRotation="90"/>
    </xf>
    <xf numFmtId="0" fontId="28" fillId="7" borderId="68" xfId="0" applyFont="1" applyFill="1" applyBorder="1" applyAlignment="1">
      <alignment horizontal="center" vertical="center" textRotation="90"/>
    </xf>
    <xf numFmtId="0" fontId="47" fillId="8" borderId="69" xfId="0" applyFont="1" applyFill="1" applyBorder="1" applyAlignment="1" applyProtection="1">
      <alignment horizontal="center" vertical="center"/>
    </xf>
    <xf numFmtId="0" fontId="55" fillId="7" borderId="69" xfId="0" applyFont="1" applyFill="1" applyBorder="1" applyAlignment="1" applyProtection="1">
      <alignment horizontal="center" vertical="center"/>
    </xf>
    <xf numFmtId="0" fontId="22" fillId="7" borderId="67" xfId="0" applyFont="1" applyFill="1" applyBorder="1" applyAlignment="1" applyProtection="1">
      <alignment horizontal="center" vertical="center"/>
    </xf>
    <xf numFmtId="0" fontId="22" fillId="7" borderId="0" xfId="0" applyFont="1" applyFill="1" applyBorder="1" applyAlignment="1" applyProtection="1">
      <alignment horizontal="center" vertical="center"/>
    </xf>
    <xf numFmtId="0" fontId="23" fillId="7" borderId="67" xfId="0" applyFont="1" applyFill="1" applyBorder="1" applyAlignment="1">
      <alignment horizontal="center" vertical="center"/>
    </xf>
    <xf numFmtId="0" fontId="24" fillId="9" borderId="23" xfId="0" applyFont="1" applyFill="1" applyBorder="1" applyAlignment="1">
      <alignment horizontal="left" vertical="center" indent="1"/>
    </xf>
    <xf numFmtId="0" fontId="29" fillId="0" borderId="49" xfId="0" applyFont="1" applyBorder="1" applyAlignment="1" applyProtection="1">
      <alignment horizontal="left" indent="1"/>
    </xf>
    <xf numFmtId="0" fontId="29" fillId="0" borderId="69" xfId="0" applyFont="1" applyBorder="1" applyAlignment="1" applyProtection="1">
      <alignment horizontal="left" indent="1"/>
    </xf>
    <xf numFmtId="0" fontId="29" fillId="0" borderId="50" xfId="0" applyFont="1" applyBorder="1" applyAlignment="1" applyProtection="1">
      <alignment horizontal="left" indent="1"/>
    </xf>
    <xf numFmtId="0" fontId="30" fillId="8" borderId="52" xfId="0" applyFont="1" applyFill="1" applyBorder="1" applyAlignment="1" applyProtection="1">
      <alignment horizontal="center" vertical="center"/>
    </xf>
    <xf numFmtId="0" fontId="29" fillId="0" borderId="53" xfId="0" applyFont="1" applyBorder="1" applyAlignment="1" applyProtection="1">
      <alignment horizontal="center" vertical="center"/>
    </xf>
    <xf numFmtId="0" fontId="29" fillId="0" borderId="52" xfId="0" applyFont="1" applyBorder="1" applyAlignment="1" applyProtection="1">
      <alignment horizontal="left" indent="1"/>
    </xf>
    <xf numFmtId="0" fontId="29" fillId="0" borderId="54" xfId="0" applyFont="1" applyBorder="1" applyAlignment="1" applyProtection="1">
      <alignment horizontal="left" indent="1"/>
    </xf>
    <xf numFmtId="0" fontId="29" fillId="0" borderId="55" xfId="0" applyFont="1" applyBorder="1" applyAlignment="1" applyProtection="1">
      <alignment horizontal="left" indent="1"/>
    </xf>
    <xf numFmtId="0" fontId="29" fillId="0" borderId="0" xfId="0" applyFont="1" applyAlignment="1" applyProtection="1">
      <alignment horizontal="center" vertical="center"/>
    </xf>
    <xf numFmtId="0" fontId="33" fillId="0" borderId="45" xfId="0" applyFont="1" applyBorder="1" applyAlignment="1" applyProtection="1">
      <alignment horizontal="center" vertical="center"/>
    </xf>
    <xf numFmtId="0" fontId="33" fillId="0" borderId="0" xfId="0" applyFont="1" applyAlignment="1" applyProtection="1">
      <alignment horizontal="center" vertical="center"/>
    </xf>
    <xf numFmtId="49" fontId="30" fillId="0" borderId="49" xfId="0" applyNumberFormat="1" applyFont="1" applyBorder="1" applyAlignment="1" applyProtection="1">
      <alignment horizontal="center" vertical="center"/>
    </xf>
    <xf numFmtId="49" fontId="30" fillId="0" borderId="69" xfId="0" applyNumberFormat="1" applyFont="1" applyBorder="1" applyAlignment="1" applyProtection="1">
      <alignment horizontal="center" vertical="center"/>
    </xf>
    <xf numFmtId="49" fontId="30" fillId="0" borderId="50" xfId="0" applyNumberFormat="1" applyFont="1" applyBorder="1" applyAlignment="1" applyProtection="1">
      <alignment horizontal="center" vertical="center"/>
    </xf>
    <xf numFmtId="0" fontId="30" fillId="0" borderId="49" xfId="0" applyFont="1" applyBorder="1" applyAlignment="1" applyProtection="1">
      <alignment horizontal="center" vertical="center"/>
    </xf>
    <xf numFmtId="0" fontId="30" fillId="0" borderId="69" xfId="0" applyFont="1" applyBorder="1" applyAlignment="1" applyProtection="1">
      <alignment horizontal="center" vertical="center"/>
    </xf>
    <xf numFmtId="0" fontId="30" fillId="0" borderId="50" xfId="0" applyFont="1" applyBorder="1" applyAlignment="1" applyProtection="1">
      <alignment horizontal="center" vertical="center"/>
    </xf>
    <xf numFmtId="20" fontId="30" fillId="0" borderId="25" xfId="0" applyNumberFormat="1" applyFont="1" applyBorder="1" applyAlignment="1" applyProtection="1">
      <alignment horizontal="center" vertical="center"/>
    </xf>
    <xf numFmtId="0" fontId="31" fillId="0" borderId="26" xfId="0" applyFont="1" applyBorder="1" applyAlignment="1" applyProtection="1">
      <alignment horizontal="left" vertical="top"/>
    </xf>
    <xf numFmtId="0" fontId="31" fillId="0" borderId="25" xfId="0" applyFont="1" applyBorder="1" applyAlignment="1" applyProtection="1">
      <alignment horizontal="left" vertical="top"/>
    </xf>
    <xf numFmtId="0" fontId="31" fillId="0" borderId="27" xfId="0" applyFont="1" applyBorder="1" applyAlignment="1" applyProtection="1">
      <alignment horizontal="left" vertical="top"/>
    </xf>
    <xf numFmtId="0" fontId="30" fillId="8" borderId="53" xfId="0" applyFont="1" applyFill="1" applyBorder="1" applyAlignment="1" applyProtection="1">
      <alignment horizontal="center" vertical="center"/>
    </xf>
    <xf numFmtId="0" fontId="37" fillId="0" borderId="45" xfId="0" applyFont="1" applyBorder="1" applyAlignment="1" applyProtection="1">
      <alignment horizontal="left" vertical="center"/>
    </xf>
    <xf numFmtId="0" fontId="37" fillId="0" borderId="0" xfId="0" applyFont="1" applyBorder="1" applyAlignment="1" applyProtection="1">
      <alignment horizontal="left" vertical="center"/>
    </xf>
    <xf numFmtId="0" fontId="37" fillId="0" borderId="46" xfId="0" applyFont="1" applyBorder="1" applyAlignment="1" applyProtection="1">
      <alignment horizontal="left" vertical="center"/>
    </xf>
    <xf numFmtId="0" fontId="31" fillId="0" borderId="47" xfId="0" applyFont="1" applyBorder="1" applyAlignment="1" applyProtection="1">
      <alignment horizontal="left"/>
    </xf>
    <xf numFmtId="0" fontId="31" fillId="0" borderId="68" xfId="0" applyFont="1" applyBorder="1" applyAlignment="1" applyProtection="1">
      <alignment horizontal="left"/>
    </xf>
    <xf numFmtId="0" fontId="31" fillId="0" borderId="48" xfId="0" applyFont="1" applyBorder="1" applyAlignment="1" applyProtection="1">
      <alignment horizontal="left"/>
    </xf>
    <xf numFmtId="49" fontId="5" fillId="0" borderId="0" xfId="1" applyNumberFormat="1" applyFont="1" applyAlignment="1">
      <alignment horizontal="center" vertical="center" wrapText="1"/>
      <protection locked="0"/>
    </xf>
    <xf numFmtId="49" fontId="5" fillId="0" borderId="57" xfId="1" applyNumberFormat="1" applyFont="1" applyBorder="1" applyAlignment="1">
      <alignment horizontal="center" vertical="center" wrapText="1"/>
      <protection locked="0"/>
    </xf>
    <xf numFmtId="0" fontId="15" fillId="15" borderId="0" xfId="0" applyFont="1" applyFill="1" applyBorder="1" applyAlignment="1" applyProtection="1">
      <alignment horizontal="center" vertical="center"/>
      <protection hidden="1"/>
    </xf>
    <xf numFmtId="14" fontId="16" fillId="15" borderId="0" xfId="4" applyNumberFormat="1" applyFont="1" applyFill="1" applyBorder="1" applyAlignment="1" applyProtection="1">
      <alignment horizontal="center" vertical="center"/>
      <protection hidden="1"/>
    </xf>
    <xf numFmtId="0" fontId="17" fillId="2" borderId="0" xfId="0" applyFont="1" applyFill="1" applyBorder="1" applyAlignment="1" applyProtection="1">
      <alignment horizontal="center" vertical="center"/>
      <protection hidden="1"/>
    </xf>
    <xf numFmtId="0" fontId="18" fillId="5" borderId="0" xfId="0" applyFont="1" applyFill="1" applyBorder="1" applyAlignment="1" applyProtection="1">
      <alignment horizontal="center" vertical="center"/>
      <protection locked="0"/>
    </xf>
    <xf numFmtId="0" fontId="18" fillId="2" borderId="0" xfId="0" applyFont="1" applyFill="1" applyBorder="1" applyAlignment="1" applyProtection="1">
      <alignment horizontal="center" vertical="center"/>
      <protection hidden="1"/>
    </xf>
    <xf numFmtId="14" fontId="19" fillId="5" borderId="0" xfId="4" applyNumberFormat="1" applyFont="1" applyFill="1" applyBorder="1" applyAlignment="1" applyProtection="1">
      <alignment horizontal="center" vertical="center"/>
      <protection locked="0" hidden="1"/>
    </xf>
    <xf numFmtId="0" fontId="17" fillId="5" borderId="0" xfId="0" applyFont="1" applyFill="1" applyBorder="1" applyAlignment="1" applyProtection="1">
      <alignment horizontal="center" vertical="center"/>
      <protection hidden="1"/>
    </xf>
    <xf numFmtId="49" fontId="26" fillId="3" borderId="0" xfId="1" applyNumberFormat="1" applyFont="1" applyFill="1" applyBorder="1" applyAlignment="1" applyProtection="1">
      <alignment horizontal="center" vertical="center"/>
      <protection hidden="1"/>
    </xf>
    <xf numFmtId="49" fontId="26" fillId="3" borderId="1" xfId="1" applyNumberFormat="1" applyFont="1" applyFill="1" applyBorder="1" applyAlignment="1" applyProtection="1">
      <alignment horizontal="center" vertical="center"/>
      <protection hidden="1"/>
    </xf>
    <xf numFmtId="49" fontId="26" fillId="3" borderId="0" xfId="1" applyNumberFormat="1" applyFont="1" applyFill="1" applyBorder="1" applyAlignment="1" applyProtection="1">
      <alignment horizontal="center" vertical="center" wrapText="1"/>
      <protection hidden="1"/>
    </xf>
    <xf numFmtId="49" fontId="26" fillId="3" borderId="1" xfId="1" applyNumberFormat="1" applyFont="1" applyFill="1" applyBorder="1" applyAlignment="1" applyProtection="1">
      <alignment horizontal="center" vertical="center" wrapText="1"/>
      <protection hidden="1"/>
    </xf>
    <xf numFmtId="0" fontId="32" fillId="0" borderId="34" xfId="0" applyFont="1" applyBorder="1" applyAlignment="1" applyProtection="1">
      <alignment horizontal="center" vertical="center"/>
    </xf>
    <xf numFmtId="0" fontId="32" fillId="0" borderId="29" xfId="0" applyFont="1" applyBorder="1" applyAlignment="1" applyProtection="1">
      <alignment horizontal="center" vertical="center"/>
    </xf>
    <xf numFmtId="0" fontId="32" fillId="0" borderId="30" xfId="0" applyFont="1" applyBorder="1" applyAlignment="1" applyProtection="1">
      <alignment horizontal="center" vertical="center"/>
    </xf>
    <xf numFmtId="0" fontId="0" fillId="0" borderId="45" xfId="0" applyBorder="1" applyAlignment="1" applyProtection="1">
      <alignment horizontal="left" indent="1"/>
      <protection locked="0"/>
    </xf>
    <xf numFmtId="0" fontId="0" fillId="0" borderId="0" xfId="0" applyBorder="1" applyAlignment="1" applyProtection="1">
      <alignment horizontal="left" indent="1"/>
      <protection locked="0"/>
    </xf>
    <xf numFmtId="0" fontId="0" fillId="0" borderId="46" xfId="0" applyBorder="1" applyAlignment="1" applyProtection="1">
      <alignment horizontal="left" indent="1"/>
      <protection locked="0"/>
    </xf>
    <xf numFmtId="0" fontId="0" fillId="0" borderId="47" xfId="0" applyBorder="1" applyAlignment="1" applyProtection="1">
      <alignment horizontal="left" indent="1"/>
      <protection locked="0"/>
    </xf>
    <xf numFmtId="0" fontId="0" fillId="0" borderId="68" xfId="0" applyBorder="1" applyAlignment="1" applyProtection="1">
      <alignment horizontal="left" indent="1"/>
      <protection locked="0"/>
    </xf>
    <xf numFmtId="0" fontId="0" fillId="0" borderId="48" xfId="0" applyBorder="1" applyAlignment="1" applyProtection="1">
      <alignment horizontal="left" indent="1"/>
      <protection locked="0"/>
    </xf>
    <xf numFmtId="0" fontId="29" fillId="0" borderId="26" xfId="0" applyFont="1" applyBorder="1" applyAlignment="1" applyProtection="1">
      <alignment horizontal="left" vertical="center" indent="1"/>
      <protection locked="0"/>
    </xf>
    <xf numFmtId="0" fontId="29" fillId="0" borderId="25" xfId="0" applyFont="1" applyBorder="1" applyAlignment="1" applyProtection="1">
      <alignment horizontal="left" vertical="center" indent="1"/>
      <protection locked="0"/>
    </xf>
    <xf numFmtId="0" fontId="29" fillId="0" borderId="27" xfId="0" applyFont="1" applyBorder="1" applyAlignment="1" applyProtection="1">
      <alignment horizontal="left" vertical="center" indent="1"/>
      <protection locked="0"/>
    </xf>
    <xf numFmtId="170" fontId="28" fillId="0" borderId="69" xfId="0" applyNumberFormat="1" applyFont="1" applyBorder="1" applyAlignment="1" applyProtection="1">
      <alignment horizontal="left" indent="1"/>
      <protection locked="0"/>
    </xf>
    <xf numFmtId="0" fontId="23" fillId="0" borderId="34" xfId="0" applyFont="1" applyBorder="1" applyAlignment="1" applyProtection="1">
      <alignment horizontal="center" vertical="center"/>
      <protection locked="0"/>
    </xf>
    <xf numFmtId="0" fontId="23" fillId="0" borderId="29" xfId="0" applyFont="1" applyBorder="1" applyAlignment="1" applyProtection="1">
      <alignment horizontal="center" vertical="center"/>
      <protection locked="0"/>
    </xf>
    <xf numFmtId="0" fontId="23" fillId="0" borderId="30" xfId="0" applyFont="1" applyBorder="1" applyAlignment="1" applyProtection="1">
      <alignment horizontal="center" vertical="center"/>
      <protection locked="0"/>
    </xf>
    <xf numFmtId="170" fontId="29" fillId="0" borderId="68" xfId="0" applyNumberFormat="1" applyFont="1" applyBorder="1" applyAlignment="1" applyProtection="1">
      <alignment horizontal="left" indent="1"/>
      <protection locked="0"/>
    </xf>
    <xf numFmtId="170" fontId="29" fillId="0" borderId="69" xfId="0" applyNumberFormat="1" applyFont="1" applyBorder="1" applyAlignment="1" applyProtection="1">
      <alignment horizontal="left" indent="1"/>
      <protection locked="0"/>
    </xf>
    <xf numFmtId="170" fontId="28" fillId="0" borderId="68" xfId="0" applyNumberFormat="1" applyFont="1" applyBorder="1" applyAlignment="1" applyProtection="1">
      <alignment horizontal="left" indent="1"/>
      <protection locked="0"/>
    </xf>
  </cellXfs>
  <cellStyles count="7">
    <cellStyle name="Standard" xfId="0" builtinId="0"/>
    <cellStyle name="Standard 2" xfId="6" xr:uid="{00000000-0005-0000-0000-000001000000}"/>
    <cellStyle name="Standard_data_general" xfId="4" xr:uid="{00000000-0005-0000-0000-000002000000}"/>
    <cellStyle name="Standard_Dienstverrichtung25" xfId="5" xr:uid="{00000000-0005-0000-0000-000003000000}"/>
    <cellStyle name="Standard_DRUCKAdd" xfId="2" xr:uid="{00000000-0005-0000-0000-000004000000}"/>
    <cellStyle name="Standard_GTables" xfId="3" xr:uid="{00000000-0005-0000-0000-000005000000}"/>
    <cellStyle name="Standard_Titel" xfId="1" xr:uid="{00000000-0005-0000-0000-000006000000}"/>
  </cellStyles>
  <dxfs count="33"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indexed="13"/>
        </patternFill>
      </fill>
    </dxf>
    <dxf>
      <fill>
        <patternFill>
          <bgColor rgb="FFC2D69A"/>
        </patternFill>
      </fill>
    </dxf>
    <dxf>
      <fill>
        <patternFill>
          <bgColor indexed="50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50"/>
        </patternFill>
      </fill>
    </dxf>
    <dxf>
      <fill>
        <patternFill>
          <bgColor rgb="FFD7E4BC"/>
        </patternFill>
      </fill>
    </dxf>
    <dxf>
      <fill>
        <patternFill>
          <bgColor rgb="FFD7E4BC"/>
        </patternFill>
      </fill>
    </dxf>
    <dxf>
      <fill>
        <patternFill>
          <bgColor rgb="FFD7E4BC"/>
        </patternFill>
      </fill>
    </dxf>
    <dxf>
      <fill>
        <patternFill>
          <bgColor rgb="FFD7E4BC"/>
        </patternFill>
      </fill>
    </dxf>
    <dxf>
      <fill>
        <patternFill>
          <bgColor rgb="FFD7E4BC"/>
        </patternFill>
      </fill>
    </dxf>
    <dxf>
      <fill>
        <patternFill>
          <bgColor rgb="FFD7E4BC"/>
        </patternFill>
      </fill>
    </dxf>
    <dxf>
      <fill>
        <patternFill>
          <bgColor rgb="FFD7E4BC"/>
        </patternFill>
      </fill>
    </dxf>
    <dxf>
      <fill>
        <patternFill>
          <bgColor rgb="FFD7E4BC"/>
        </patternFill>
      </fill>
    </dxf>
    <dxf>
      <fill>
        <patternFill>
          <bgColor rgb="FFD7E4BC"/>
        </patternFill>
      </fill>
    </dxf>
    <dxf>
      <fill>
        <patternFill>
          <bgColor indexed="47"/>
        </patternFill>
      </fill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ill>
        <patternFill>
          <bgColor rgb="FFEBEBEB"/>
        </patternFill>
      </fill>
    </dxf>
    <dxf>
      <font>
        <b/>
        <i val="0"/>
      </font>
      <fill>
        <patternFill patternType="none">
          <bgColor indexed="65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ont>
        <b/>
        <i val="0"/>
      </font>
      <fill>
        <patternFill>
          <bgColor rgb="FFDDD9C3"/>
        </patternFill>
      </fill>
    </dxf>
  </dxfs>
  <tableStyles count="0" defaultTableStyle="TableStyleMedium2" defaultPivotStyle="PivotStyleLight16"/>
  <colors>
    <mruColors>
      <color rgb="FFFFCC99"/>
      <color rgb="FFCCFFCC"/>
      <color rgb="FFFF7C80"/>
      <color rgb="FFFFFFCC"/>
      <color rgb="FF4C5E78"/>
      <color rgb="FF586C8A"/>
      <color rgb="FF495A73"/>
      <color rgb="FF3F4E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9</xdr:row>
      <xdr:rowOff>0</xdr:rowOff>
    </xdr:from>
    <xdr:to>
      <xdr:col>4</xdr:col>
      <xdr:colOff>161925</xdr:colOff>
      <xdr:row>9</xdr:row>
      <xdr:rowOff>180975</xdr:rowOff>
    </xdr:to>
    <xdr:sp macro="" textlink="">
      <xdr:nvSpPr>
        <xdr:cNvPr id="17" name="Pfeil nach rechts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4248150" y="2314575"/>
          <a:ext cx="161925" cy="180975"/>
        </a:xfrm>
        <a:prstGeom prst="rightArrow">
          <a:avLst/>
        </a:prstGeom>
        <a:solidFill>
          <a:schemeClr val="tx2">
            <a:lumMod val="75000"/>
          </a:scheme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4</xdr:col>
      <xdr:colOff>161925</xdr:colOff>
      <xdr:row>10</xdr:row>
      <xdr:rowOff>180975</xdr:rowOff>
    </xdr:to>
    <xdr:sp macro="" textlink="">
      <xdr:nvSpPr>
        <xdr:cNvPr id="20" name="Pfeil nach rechts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4248150" y="2590800"/>
          <a:ext cx="161925" cy="180975"/>
        </a:xfrm>
        <a:prstGeom prst="rightArrow">
          <a:avLst/>
        </a:prstGeom>
        <a:solidFill>
          <a:schemeClr val="tx2">
            <a:lumMod val="75000"/>
          </a:scheme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533399</xdr:colOff>
      <xdr:row>17</xdr:row>
      <xdr:rowOff>76200</xdr:rowOff>
    </xdr:from>
    <xdr:to>
      <xdr:col>3</xdr:col>
      <xdr:colOff>414974</xdr:colOff>
      <xdr:row>17</xdr:row>
      <xdr:rowOff>616200</xdr:rowOff>
    </xdr:to>
    <xdr:sp macro="[0]!erstes_quartal" textlink="">
      <xdr:nvSpPr>
        <xdr:cNvPr id="2" name="Richtungspfei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/>
        </xdr:cNvSpPr>
      </xdr:nvSpPr>
      <xdr:spPr>
        <a:xfrm>
          <a:off x="533399" y="2847975"/>
          <a:ext cx="2520000" cy="540000"/>
        </a:xfrm>
        <a:prstGeom prst="homePlate">
          <a:avLst/>
        </a:prstGeom>
        <a:solidFill>
          <a:srgbClr val="586C8A"/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1. Quartal</a:t>
          </a:r>
        </a:p>
      </xdr:txBody>
    </xdr:sp>
    <xdr:clientData/>
  </xdr:twoCellAnchor>
  <xdr:twoCellAnchor>
    <xdr:from>
      <xdr:col>3</xdr:col>
      <xdr:colOff>238124</xdr:colOff>
      <xdr:row>17</xdr:row>
      <xdr:rowOff>76199</xdr:rowOff>
    </xdr:from>
    <xdr:to>
      <xdr:col>5</xdr:col>
      <xdr:colOff>900749</xdr:colOff>
      <xdr:row>17</xdr:row>
      <xdr:rowOff>616199</xdr:rowOff>
    </xdr:to>
    <xdr:sp macro="[0]!zweites_quartal" textlink="">
      <xdr:nvSpPr>
        <xdr:cNvPr id="3" name="Eingekerbter Richtungspfei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/>
        </xdr:cNvSpPr>
      </xdr:nvSpPr>
      <xdr:spPr>
        <a:xfrm>
          <a:off x="2876549" y="2847974"/>
          <a:ext cx="2520000" cy="540000"/>
        </a:xfrm>
        <a:prstGeom prst="chevron">
          <a:avLst/>
        </a:prstGeom>
        <a:solidFill>
          <a:srgbClr val="4C5E78"/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2. Quartal</a:t>
          </a:r>
        </a:p>
      </xdr:txBody>
    </xdr:sp>
    <xdr:clientData/>
  </xdr:twoCellAnchor>
  <xdr:twoCellAnchor>
    <xdr:from>
      <xdr:col>5</xdr:col>
      <xdr:colOff>723899</xdr:colOff>
      <xdr:row>17</xdr:row>
      <xdr:rowOff>76199</xdr:rowOff>
    </xdr:from>
    <xdr:to>
      <xdr:col>8</xdr:col>
      <xdr:colOff>624524</xdr:colOff>
      <xdr:row>17</xdr:row>
      <xdr:rowOff>616199</xdr:rowOff>
    </xdr:to>
    <xdr:sp macro="[0]!drittes_quartal" textlink="">
      <xdr:nvSpPr>
        <xdr:cNvPr id="14" name="Eingekerbter Richtungspfeil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spect="1"/>
        </xdr:cNvSpPr>
      </xdr:nvSpPr>
      <xdr:spPr>
        <a:xfrm>
          <a:off x="5219699" y="2847974"/>
          <a:ext cx="2520000" cy="540000"/>
        </a:xfrm>
        <a:prstGeom prst="chevron">
          <a:avLst/>
        </a:prstGeom>
        <a:solidFill>
          <a:srgbClr val="3F4E63"/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3. Quartal</a:t>
          </a:r>
        </a:p>
      </xdr:txBody>
    </xdr:sp>
    <xdr:clientData/>
  </xdr:twoCellAnchor>
  <xdr:twoCellAnchor>
    <xdr:from>
      <xdr:col>8</xdr:col>
      <xdr:colOff>447674</xdr:colOff>
      <xdr:row>17</xdr:row>
      <xdr:rowOff>76199</xdr:rowOff>
    </xdr:from>
    <xdr:to>
      <xdr:col>11</xdr:col>
      <xdr:colOff>681674</xdr:colOff>
      <xdr:row>17</xdr:row>
      <xdr:rowOff>616199</xdr:rowOff>
    </xdr:to>
    <xdr:sp macro="[0]!viertes_quartal" textlink="">
      <xdr:nvSpPr>
        <xdr:cNvPr id="15" name="Eingekerbter Richtungspfeil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Aspect="1"/>
        </xdr:cNvSpPr>
      </xdr:nvSpPr>
      <xdr:spPr>
        <a:xfrm>
          <a:off x="7562849" y="2847974"/>
          <a:ext cx="2520000" cy="540000"/>
        </a:xfrm>
        <a:prstGeom prst="chevron">
          <a:avLst/>
        </a:prstGeom>
        <a:solidFill>
          <a:schemeClr val="tx2">
            <a:lumMod val="75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4. Quartal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4</xdr:col>
      <xdr:colOff>161925</xdr:colOff>
      <xdr:row>14</xdr:row>
      <xdr:rowOff>0</xdr:rowOff>
    </xdr:to>
    <xdr:sp macro="" textlink="">
      <xdr:nvSpPr>
        <xdr:cNvPr id="16" name="Pfeil nach recht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248150" y="2590800"/>
          <a:ext cx="161925" cy="180975"/>
        </a:xfrm>
        <a:prstGeom prst="rightArrow">
          <a:avLst/>
        </a:prstGeom>
        <a:solidFill>
          <a:schemeClr val="tx2">
            <a:lumMod val="75000"/>
          </a:scheme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4</xdr:col>
      <xdr:colOff>161925</xdr:colOff>
      <xdr:row>15</xdr:row>
      <xdr:rowOff>0</xdr:rowOff>
    </xdr:to>
    <xdr:sp macro="" textlink="">
      <xdr:nvSpPr>
        <xdr:cNvPr id="18" name="Pfeil nach recht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248150" y="2771775"/>
          <a:ext cx="161925" cy="180975"/>
        </a:xfrm>
        <a:prstGeom prst="rightArrow">
          <a:avLst/>
        </a:prstGeom>
        <a:solidFill>
          <a:schemeClr val="tx2">
            <a:lumMod val="75000"/>
          </a:scheme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4</xdr:col>
      <xdr:colOff>161925</xdr:colOff>
      <xdr:row>16</xdr:row>
      <xdr:rowOff>0</xdr:rowOff>
    </xdr:to>
    <xdr:sp macro="" textlink="">
      <xdr:nvSpPr>
        <xdr:cNvPr id="19" name="Pfeil nach rechts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4248150" y="2952750"/>
          <a:ext cx="161925" cy="180975"/>
        </a:xfrm>
        <a:prstGeom prst="rightArrow">
          <a:avLst/>
        </a:prstGeom>
        <a:solidFill>
          <a:schemeClr val="tx2">
            <a:lumMod val="75000"/>
          </a:scheme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4</xdr:col>
      <xdr:colOff>161925</xdr:colOff>
      <xdr:row>13</xdr:row>
      <xdr:rowOff>0</xdr:rowOff>
    </xdr:to>
    <xdr:sp macro="" textlink="">
      <xdr:nvSpPr>
        <xdr:cNvPr id="21" name="Pfeil nach rechts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4248150" y="2590800"/>
          <a:ext cx="161925" cy="180975"/>
        </a:xfrm>
        <a:prstGeom prst="rightArrow">
          <a:avLst/>
        </a:prstGeom>
        <a:solidFill>
          <a:schemeClr val="tx2">
            <a:lumMod val="75000"/>
          </a:scheme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/>
        </a:p>
      </xdr:txBody>
    </xdr:sp>
    <xdr:clientData/>
  </xdr:twoCellAnchor>
  <xdr:twoCellAnchor editAs="oneCell">
    <xdr:from>
      <xdr:col>0</xdr:col>
      <xdr:colOff>142875</xdr:colOff>
      <xdr:row>1</xdr:row>
      <xdr:rowOff>171450</xdr:rowOff>
    </xdr:from>
    <xdr:to>
      <xdr:col>1</xdr:col>
      <xdr:colOff>133350</xdr:colOff>
      <xdr:row>16</xdr:row>
      <xdr:rowOff>38101</xdr:rowOff>
    </xdr:to>
    <xdr:pic>
      <xdr:nvPicPr>
        <xdr:cNvPr id="13" name="Grafik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704850"/>
          <a:ext cx="1276350" cy="13811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83344</xdr:colOff>
      <xdr:row>0</xdr:row>
      <xdr:rowOff>59532</xdr:rowOff>
    </xdr:from>
    <xdr:to>
      <xdr:col>1</xdr:col>
      <xdr:colOff>686681</xdr:colOff>
      <xdr:row>4</xdr:row>
      <xdr:rowOff>154781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4" y="59532"/>
          <a:ext cx="1166319" cy="12620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638175</xdr:colOff>
      <xdr:row>34</xdr:row>
      <xdr:rowOff>0</xdr:rowOff>
    </xdr:from>
    <xdr:to>
      <xdr:col>18</xdr:col>
      <xdr:colOff>0</xdr:colOff>
      <xdr:row>1048575</xdr:row>
      <xdr:rowOff>0</xdr:rowOff>
    </xdr:to>
    <xdr:sp macro="" textlink="">
      <xdr:nvSpPr>
        <xdr:cNvPr id="575489" name="sb_date" hidden="1">
          <a:extLst>
            <a:ext uri="{63B3BB69-23CF-44E3-9099-C40C66FF867C}">
              <a14:compatExt xmlns:a14="http://schemas.microsoft.com/office/drawing/2010/main" spid="_x0000_s575489"/>
            </a:ext>
            <a:ext uri="{FF2B5EF4-FFF2-40B4-BE49-F238E27FC236}">
              <a16:creationId xmlns:a16="http://schemas.microsoft.com/office/drawing/2014/main" id="{00000000-0008-0000-0300-000001C808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638175</xdr:colOff>
      <xdr:row>34</xdr:row>
      <xdr:rowOff>0</xdr:rowOff>
    </xdr:from>
    <xdr:to>
      <xdr:col>18</xdr:col>
      <xdr:colOff>0</xdr:colOff>
      <xdr:row>1048575</xdr:row>
      <xdr:rowOff>0</xdr:rowOff>
    </xdr:to>
    <xdr:pic>
      <xdr:nvPicPr>
        <xdr:cNvPr id="2" name="sb_dat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67675" y="6219825"/>
          <a:ext cx="161925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theme="3" tint="-0.499984740745262"/>
  </sheetPr>
  <dimension ref="A1:R36"/>
  <sheetViews>
    <sheetView showGridLines="0" zoomScaleNormal="100" workbookViewId="0">
      <selection activeCell="I4" sqref="I4"/>
    </sheetView>
  </sheetViews>
  <sheetFormatPr baseColWidth="10" defaultColWidth="11.42578125" defaultRowHeight="14.25" x14ac:dyDescent="0.2"/>
  <cols>
    <col min="1" max="1" width="19.28515625" style="19" customWidth="1"/>
    <col min="2" max="2" width="3.85546875" style="19" customWidth="1"/>
    <col min="3" max="3" width="16.42578125" style="19" customWidth="1"/>
    <col min="4" max="4" width="24.140625" style="19" customWidth="1"/>
    <col min="5" max="5" width="3.7109375" style="19" customWidth="1"/>
    <col min="6" max="6" width="16.42578125" style="19" customWidth="1"/>
    <col min="7" max="16384" width="11.42578125" style="19"/>
  </cols>
  <sheetData>
    <row r="1" spans="1:18" s="169" customFormat="1" ht="42" customHeight="1" thickBot="1" x14ac:dyDescent="0.3">
      <c r="A1" s="255" t="s">
        <v>0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</row>
    <row r="2" spans="1:18" ht="15" thickTop="1" x14ac:dyDescent="0.2"/>
    <row r="3" spans="1:18" ht="15" x14ac:dyDescent="0.25">
      <c r="A3" s="256"/>
      <c r="B3" s="22"/>
      <c r="C3" s="23" t="s">
        <v>1</v>
      </c>
      <c r="D3" s="24" t="s">
        <v>51</v>
      </c>
      <c r="E3" s="22"/>
      <c r="F3" s="25" t="s">
        <v>5</v>
      </c>
      <c r="G3" s="22" t="s">
        <v>122</v>
      </c>
      <c r="H3" s="22"/>
      <c r="I3" s="22"/>
      <c r="J3" s="22"/>
      <c r="K3" s="22"/>
      <c r="L3" s="22"/>
      <c r="M3" s="25"/>
      <c r="N3" s="26"/>
      <c r="O3" s="22"/>
      <c r="P3" s="22"/>
      <c r="Q3" s="22"/>
      <c r="R3" s="22"/>
    </row>
    <row r="4" spans="1:18" ht="15" x14ac:dyDescent="0.25">
      <c r="A4" s="256"/>
      <c r="B4" s="22"/>
      <c r="C4" s="23" t="s">
        <v>2</v>
      </c>
      <c r="D4" s="26" t="s">
        <v>158</v>
      </c>
      <c r="E4" s="22"/>
      <c r="F4" s="25" t="s">
        <v>6</v>
      </c>
      <c r="G4" s="36">
        <v>43174</v>
      </c>
      <c r="H4" s="22"/>
      <c r="I4" s="22"/>
      <c r="J4" s="22"/>
      <c r="K4" s="22"/>
      <c r="L4" s="22"/>
      <c r="M4" s="22"/>
      <c r="N4" s="26"/>
      <c r="O4" s="22"/>
      <c r="P4" s="22"/>
      <c r="Q4" s="22"/>
      <c r="R4" s="22"/>
    </row>
    <row r="5" spans="1:18" ht="15" x14ac:dyDescent="0.25">
      <c r="A5" s="256"/>
      <c r="B5" s="22"/>
      <c r="C5" s="27"/>
      <c r="D5" s="26"/>
      <c r="E5" s="22"/>
      <c r="F5" s="25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</row>
    <row r="6" spans="1:18" ht="15" x14ac:dyDescent="0.25">
      <c r="A6" s="256"/>
      <c r="B6" s="22"/>
      <c r="C6" s="23" t="s">
        <v>3</v>
      </c>
      <c r="D6" s="28">
        <v>2018</v>
      </c>
      <c r="E6" s="22"/>
      <c r="F6" s="25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</row>
    <row r="7" spans="1:18" ht="15" x14ac:dyDescent="0.25">
      <c r="A7" s="256"/>
      <c r="B7" s="22"/>
      <c r="C7" s="23" t="s">
        <v>4</v>
      </c>
      <c r="D7" s="29">
        <f ca="1">TODAY()</f>
        <v>43271</v>
      </c>
      <c r="E7" s="22"/>
      <c r="F7" s="25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</row>
    <row r="8" spans="1:18" x14ac:dyDescent="0.2">
      <c r="A8" s="256"/>
      <c r="B8" s="22"/>
      <c r="C8" s="22"/>
      <c r="D8" s="30">
        <f ca="1">NOW()</f>
        <v>43271.775849537036</v>
      </c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18" s="31" customFormat="1" ht="15" customHeight="1" x14ac:dyDescent="0.25">
      <c r="C9" s="32"/>
    </row>
    <row r="10" spans="1:18" s="31" customFormat="1" ht="15" hidden="1" customHeight="1" x14ac:dyDescent="0.25">
      <c r="C10" s="33" t="s">
        <v>71</v>
      </c>
      <c r="D10" s="31" t="s">
        <v>72</v>
      </c>
      <c r="E10" s="34"/>
      <c r="F10" s="257" t="s">
        <v>149</v>
      </c>
      <c r="G10" s="257"/>
      <c r="H10" s="257"/>
      <c r="I10" s="257"/>
      <c r="J10" s="257"/>
      <c r="K10" s="257"/>
      <c r="L10" s="257"/>
      <c r="M10" s="257"/>
    </row>
    <row r="11" spans="1:18" s="31" customFormat="1" ht="15" hidden="1" customHeight="1" x14ac:dyDescent="0.25">
      <c r="C11" s="32"/>
      <c r="D11" s="31" t="s">
        <v>77</v>
      </c>
      <c r="F11" s="257" t="s">
        <v>150</v>
      </c>
      <c r="G11" s="257"/>
      <c r="H11" s="257"/>
      <c r="I11" s="257"/>
      <c r="J11" s="257"/>
      <c r="K11" s="257"/>
      <c r="L11" s="257"/>
      <c r="M11" s="257"/>
    </row>
    <row r="12" spans="1:18" s="31" customFormat="1" ht="15" hidden="1" customHeight="1" x14ac:dyDescent="0.25">
      <c r="C12" s="32"/>
    </row>
    <row r="13" spans="1:18" s="31" customFormat="1" ht="15" hidden="1" customHeight="1" x14ac:dyDescent="0.25">
      <c r="C13" s="32"/>
      <c r="D13" s="31" t="s">
        <v>76</v>
      </c>
      <c r="F13" s="257" t="s">
        <v>148</v>
      </c>
      <c r="G13" s="257"/>
      <c r="H13" s="257"/>
      <c r="I13" s="257"/>
      <c r="J13" s="257"/>
      <c r="K13" s="257"/>
      <c r="L13" s="257"/>
      <c r="M13" s="257"/>
    </row>
    <row r="14" spans="1:18" s="31" customFormat="1" ht="15" hidden="1" customHeight="1" x14ac:dyDescent="0.25">
      <c r="C14" s="32"/>
      <c r="D14" s="31" t="s">
        <v>0</v>
      </c>
      <c r="F14" s="257" t="s">
        <v>151</v>
      </c>
      <c r="G14" s="257"/>
      <c r="H14" s="257"/>
      <c r="I14" s="257"/>
      <c r="J14" s="257"/>
      <c r="K14" s="257"/>
      <c r="L14" s="257"/>
      <c r="M14" s="257"/>
    </row>
    <row r="15" spans="1:18" s="31" customFormat="1" ht="15" hidden="1" customHeight="1" x14ac:dyDescent="0.25">
      <c r="C15" s="32"/>
      <c r="D15" s="31" t="s">
        <v>74</v>
      </c>
      <c r="F15" s="257" t="s">
        <v>152</v>
      </c>
      <c r="G15" s="257"/>
      <c r="H15" s="257"/>
      <c r="I15" s="257"/>
      <c r="J15" s="257"/>
      <c r="K15" s="257"/>
      <c r="L15" s="257"/>
      <c r="M15" s="257"/>
    </row>
    <row r="16" spans="1:18" s="31" customFormat="1" ht="15" hidden="1" customHeight="1" x14ac:dyDescent="0.25">
      <c r="C16" s="32"/>
      <c r="D16" s="31" t="s">
        <v>75</v>
      </c>
      <c r="F16" s="257" t="s">
        <v>153</v>
      </c>
      <c r="G16" s="257"/>
      <c r="H16" s="257"/>
      <c r="I16" s="257"/>
      <c r="J16" s="257"/>
      <c r="K16" s="257"/>
      <c r="L16" s="257"/>
      <c r="M16" s="257"/>
    </row>
    <row r="17" spans="1:17" s="35" customFormat="1" ht="15" customHeight="1" x14ac:dyDescent="0.2"/>
    <row r="18" spans="1:17" ht="56.1" customHeight="1" x14ac:dyDescent="0.2"/>
    <row r="19" spans="1:17" x14ac:dyDescent="0.2">
      <c r="P19" s="22"/>
    </row>
    <row r="21" spans="1:17" x14ac:dyDescent="0.2">
      <c r="M21" s="22"/>
      <c r="O21" s="22"/>
    </row>
    <row r="22" spans="1:17" x14ac:dyDescent="0.2">
      <c r="L22" s="22"/>
      <c r="M22" s="22"/>
      <c r="N22" s="22"/>
      <c r="P22" s="22"/>
    </row>
    <row r="23" spans="1:17" x14ac:dyDescent="0.2">
      <c r="D23" s="22"/>
      <c r="F23" s="22"/>
      <c r="G23" s="22"/>
      <c r="J23" s="22"/>
      <c r="M23" s="22"/>
      <c r="Q23" s="22"/>
    </row>
    <row r="24" spans="1:17" x14ac:dyDescent="0.2">
      <c r="F24" s="22"/>
      <c r="I24" s="22"/>
      <c r="J24" s="22"/>
      <c r="L24" s="22"/>
      <c r="M24" s="22"/>
      <c r="N24" s="22"/>
      <c r="P24" s="22"/>
    </row>
    <row r="25" spans="1:17" x14ac:dyDescent="0.2">
      <c r="A25" s="22"/>
      <c r="D25" s="22"/>
      <c r="F25" s="22"/>
      <c r="G25" s="22"/>
      <c r="H25" s="22"/>
      <c r="I25" s="22"/>
      <c r="J25" s="22"/>
      <c r="K25" s="22"/>
      <c r="L25" s="22"/>
      <c r="O25" s="22"/>
    </row>
    <row r="26" spans="1:17" x14ac:dyDescent="0.2">
      <c r="D26" s="22"/>
      <c r="F26" s="22"/>
      <c r="H26" s="22"/>
      <c r="I26" s="22"/>
      <c r="J26" s="22"/>
      <c r="K26" s="22"/>
      <c r="L26" s="22"/>
      <c r="M26" s="22"/>
      <c r="N26" s="22"/>
    </row>
    <row r="27" spans="1:17" x14ac:dyDescent="0.2">
      <c r="C27" s="22"/>
      <c r="F27" s="22"/>
      <c r="G27" s="22"/>
      <c r="J27" s="22"/>
      <c r="L27" s="22"/>
      <c r="M27" s="22"/>
    </row>
    <row r="28" spans="1:17" x14ac:dyDescent="0.2">
      <c r="C28" s="22"/>
      <c r="E28" s="22"/>
      <c r="G28" s="22"/>
      <c r="I28" s="22"/>
      <c r="K28" s="22"/>
      <c r="L28" s="22"/>
    </row>
    <row r="29" spans="1:17" x14ac:dyDescent="0.2">
      <c r="H29" s="22"/>
      <c r="I29" s="22"/>
      <c r="J29" s="22"/>
    </row>
    <row r="30" spans="1:17" x14ac:dyDescent="0.2">
      <c r="D30" s="22"/>
      <c r="F30" s="22"/>
      <c r="H30" s="22"/>
      <c r="J30" s="22"/>
      <c r="L30" s="22"/>
    </row>
    <row r="31" spans="1:17" x14ac:dyDescent="0.2">
      <c r="D31" s="22"/>
      <c r="E31" s="22"/>
      <c r="F31" s="22"/>
      <c r="H31" s="22"/>
    </row>
    <row r="32" spans="1:17" x14ac:dyDescent="0.2">
      <c r="D32" s="22"/>
      <c r="H32" s="22"/>
      <c r="I32" s="22"/>
    </row>
    <row r="33" spans="1:7" x14ac:dyDescent="0.2">
      <c r="A33" s="22"/>
      <c r="F33" s="22"/>
    </row>
    <row r="34" spans="1:7" x14ac:dyDescent="0.2">
      <c r="F34" s="22"/>
    </row>
    <row r="35" spans="1:7" x14ac:dyDescent="0.2">
      <c r="G35" s="22"/>
    </row>
    <row r="36" spans="1:7" x14ac:dyDescent="0.2">
      <c r="D36" s="22"/>
    </row>
  </sheetData>
  <sheetProtection algorithmName="SHA-512" hashValue="JNqFjNl/V3RxDhJhh37lQkG39F5d3Q7h89HVBq6COJyMYFMSJae80K+rJnMR4dkFoKewSt9JP40DH+9oXau7sQ==" saltValue="AEiq2GOl3Hr8ihUHd28jlA==" spinCount="100000" sheet="1" objects="1" scenarios="1" selectLockedCells="1"/>
  <mergeCells count="8">
    <mergeCell ref="A1:L1"/>
    <mergeCell ref="A3:A8"/>
    <mergeCell ref="F10:M10"/>
    <mergeCell ref="F11:M11"/>
    <mergeCell ref="F16:M16"/>
    <mergeCell ref="F13:M13"/>
    <mergeCell ref="F14:M14"/>
    <mergeCell ref="F15:M1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pageSetUpPr fitToPage="1"/>
  </sheetPr>
  <dimension ref="A1:CV54"/>
  <sheetViews>
    <sheetView tabSelected="1" zoomScale="85" zoomScaleNormal="85" zoomScalePageLayoutView="70" workbookViewId="0">
      <pane xSplit="3" ySplit="6" topLeftCell="AR7" activePane="bottomRight" state="frozen"/>
      <selection pane="topRight" activeCell="D1" sqref="D1"/>
      <selection pane="bottomLeft" activeCell="A7" sqref="A7"/>
      <selection pane="bottomRight" activeCell="BZ44" sqref="BZ44"/>
    </sheetView>
  </sheetViews>
  <sheetFormatPr baseColWidth="10" defaultColWidth="0" defaultRowHeight="15" customHeight="1" zeroHeight="1" x14ac:dyDescent="0.25"/>
  <cols>
    <col min="1" max="1" width="7.7109375" style="170" customWidth="1"/>
    <col min="2" max="2" width="12.7109375" style="170" customWidth="1"/>
    <col min="3" max="3" width="24.7109375" style="170" customWidth="1"/>
    <col min="4" max="8" width="4.7109375" style="198" customWidth="1"/>
    <col min="9" max="9" width="12.5703125" style="198" bestFit="1" customWidth="1"/>
    <col min="10" max="32" width="4.7109375" style="198" customWidth="1"/>
    <col min="33" max="33" width="4.7109375" style="202" customWidth="1"/>
    <col min="34" max="63" width="4.7109375" style="198" customWidth="1"/>
    <col min="64" max="64" width="4.7109375" style="202" customWidth="1"/>
    <col min="65" max="93" width="4.7109375" style="198" customWidth="1"/>
    <col min="94" max="94" width="4.7109375" style="202" customWidth="1"/>
    <col min="95" max="95" width="4.7109375" style="198" customWidth="1"/>
    <col min="96" max="96" width="2.7109375" style="232" customWidth="1"/>
    <col min="97" max="99" width="5.7109375" style="198" customWidth="1"/>
    <col min="100" max="100" width="4.7109375" style="198" customWidth="1"/>
    <col min="101" max="16384" width="4.7109375" style="198" hidden="1"/>
  </cols>
  <sheetData>
    <row r="1" spans="1:99" s="247" customFormat="1" ht="42" customHeight="1" thickBot="1" x14ac:dyDescent="0.3">
      <c r="A1" s="197"/>
      <c r="B1" s="197"/>
      <c r="C1" s="197">
        <v>2018</v>
      </c>
      <c r="D1" s="266" t="s">
        <v>228</v>
      </c>
      <c r="E1" s="266"/>
      <c r="F1" s="266"/>
      <c r="G1" s="266"/>
      <c r="H1" s="266"/>
      <c r="I1" s="266">
        <v>2018</v>
      </c>
      <c r="J1" s="266"/>
      <c r="K1" s="266"/>
      <c r="L1" s="266"/>
      <c r="M1" s="266"/>
      <c r="N1" s="266"/>
      <c r="O1" s="266"/>
      <c r="P1" s="266"/>
      <c r="Q1" s="266"/>
      <c r="R1" s="266"/>
      <c r="S1" s="266"/>
      <c r="T1" s="266"/>
      <c r="U1" s="266"/>
      <c r="V1" s="266"/>
      <c r="W1" s="266"/>
      <c r="X1" s="266"/>
      <c r="Y1" s="266"/>
      <c r="Z1" s="266"/>
      <c r="AA1" s="266"/>
      <c r="AB1" s="266"/>
      <c r="AC1" s="266"/>
      <c r="AD1" s="266"/>
      <c r="AE1" s="266"/>
      <c r="AF1" s="266"/>
      <c r="AG1" s="266"/>
      <c r="AH1" s="266"/>
      <c r="AI1" s="266"/>
      <c r="AJ1" s="266"/>
      <c r="AK1" s="266"/>
      <c r="AL1" s="266"/>
      <c r="AM1" s="266"/>
      <c r="AN1" s="266"/>
      <c r="AO1" s="266"/>
      <c r="AP1" s="266"/>
      <c r="AQ1" s="266"/>
      <c r="AR1" s="266"/>
      <c r="AS1" s="266"/>
      <c r="AT1" s="266"/>
      <c r="AU1" s="266"/>
      <c r="AV1" s="266"/>
      <c r="AW1" s="266"/>
      <c r="AX1" s="266"/>
      <c r="AY1" s="266"/>
      <c r="AZ1" s="266"/>
      <c r="BA1" s="266"/>
      <c r="BB1" s="266"/>
      <c r="BC1" s="266"/>
      <c r="BD1" s="266"/>
      <c r="BE1" s="266"/>
      <c r="BF1" s="266"/>
      <c r="BG1" s="266"/>
      <c r="BH1" s="266"/>
      <c r="BI1" s="266"/>
      <c r="BJ1" s="266"/>
      <c r="BK1" s="266"/>
      <c r="BL1" s="266"/>
      <c r="BM1" s="266"/>
      <c r="BN1" s="266"/>
      <c r="BO1" s="266"/>
      <c r="BP1" s="266"/>
      <c r="BQ1" s="266"/>
      <c r="BR1" s="266"/>
      <c r="BS1" s="266"/>
      <c r="BT1" s="266"/>
      <c r="BU1" s="266"/>
      <c r="BV1" s="266"/>
      <c r="BW1" s="266"/>
      <c r="BX1" s="266"/>
      <c r="BY1" s="266"/>
      <c r="BZ1" s="266"/>
      <c r="CA1" s="266"/>
      <c r="CB1" s="266"/>
      <c r="CC1" s="266"/>
      <c r="CD1" s="266"/>
      <c r="CE1" s="266"/>
      <c r="CF1" s="266"/>
      <c r="CG1" s="266"/>
      <c r="CH1" s="266"/>
      <c r="CI1" s="266"/>
      <c r="CJ1" s="266"/>
      <c r="CK1" s="266"/>
      <c r="CL1" s="266"/>
      <c r="CM1" s="266"/>
      <c r="CN1" s="266"/>
      <c r="CO1" s="266"/>
      <c r="CP1" s="266"/>
      <c r="CR1" s="229"/>
    </row>
    <row r="2" spans="1:99" s="200" customFormat="1" ht="20.100000000000001" customHeight="1" thickTop="1" x14ac:dyDescent="0.25">
      <c r="A2" s="170"/>
      <c r="B2" s="170"/>
      <c r="C2" s="263" t="s">
        <v>51</v>
      </c>
      <c r="D2" s="265" t="s">
        <v>229</v>
      </c>
      <c r="E2" s="265"/>
      <c r="F2" s="265"/>
      <c r="G2" s="265"/>
      <c r="H2" s="265"/>
      <c r="I2" s="265"/>
      <c r="J2" s="265"/>
      <c r="K2" s="265"/>
      <c r="L2" s="265"/>
      <c r="M2" s="265"/>
      <c r="N2" s="265"/>
      <c r="O2" s="265"/>
      <c r="P2" s="265"/>
      <c r="Q2" s="265"/>
      <c r="R2" s="265"/>
      <c r="S2" s="265"/>
      <c r="T2" s="265"/>
      <c r="U2" s="265"/>
      <c r="V2" s="265"/>
      <c r="W2" s="265"/>
      <c r="X2" s="265"/>
      <c r="Y2" s="265"/>
      <c r="Z2" s="265"/>
      <c r="AA2" s="265"/>
      <c r="AB2" s="265"/>
      <c r="AC2" s="265"/>
      <c r="AD2" s="265"/>
      <c r="AE2" s="265"/>
      <c r="AF2" s="265"/>
      <c r="AG2" s="265"/>
      <c r="AH2" s="265" t="s">
        <v>230</v>
      </c>
      <c r="AI2" s="265"/>
      <c r="AJ2" s="265"/>
      <c r="AK2" s="265"/>
      <c r="AL2" s="265"/>
      <c r="AM2" s="265"/>
      <c r="AN2" s="265"/>
      <c r="AO2" s="265"/>
      <c r="AP2" s="265"/>
      <c r="AQ2" s="265"/>
      <c r="AR2" s="265"/>
      <c r="AS2" s="265"/>
      <c r="AT2" s="265"/>
      <c r="AU2" s="265"/>
      <c r="AV2" s="265"/>
      <c r="AW2" s="265"/>
      <c r="AX2" s="265"/>
      <c r="AY2" s="265"/>
      <c r="AZ2" s="265"/>
      <c r="BA2" s="265"/>
      <c r="BB2" s="265"/>
      <c r="BC2" s="265"/>
      <c r="BD2" s="265"/>
      <c r="BE2" s="265"/>
      <c r="BF2" s="265"/>
      <c r="BG2" s="265"/>
      <c r="BH2" s="265"/>
      <c r="BI2" s="265"/>
      <c r="BJ2" s="265"/>
      <c r="BK2" s="265"/>
      <c r="BL2" s="265"/>
      <c r="BM2" s="265" t="s">
        <v>231</v>
      </c>
      <c r="BN2" s="265"/>
      <c r="BO2" s="265"/>
      <c r="BP2" s="265"/>
      <c r="BQ2" s="265"/>
      <c r="BR2" s="265"/>
      <c r="BS2" s="265"/>
      <c r="BT2" s="265"/>
      <c r="BU2" s="265"/>
      <c r="BV2" s="265"/>
      <c r="BW2" s="265"/>
      <c r="BX2" s="265"/>
      <c r="BY2" s="265"/>
      <c r="BZ2" s="265"/>
      <c r="CA2" s="265"/>
      <c r="CB2" s="265"/>
      <c r="CC2" s="265"/>
      <c r="CD2" s="265"/>
      <c r="CE2" s="265"/>
      <c r="CF2" s="265"/>
      <c r="CG2" s="265"/>
      <c r="CH2" s="265"/>
      <c r="CI2" s="265"/>
      <c r="CJ2" s="265"/>
      <c r="CK2" s="265"/>
      <c r="CL2" s="265"/>
      <c r="CM2" s="265"/>
      <c r="CN2" s="265"/>
      <c r="CO2" s="265"/>
      <c r="CP2" s="265"/>
      <c r="CR2" s="230"/>
      <c r="CS2" s="258" t="s">
        <v>221</v>
      </c>
      <c r="CT2" s="258" t="s">
        <v>222</v>
      </c>
      <c r="CU2" s="258" t="s">
        <v>223</v>
      </c>
    </row>
    <row r="3" spans="1:99" s="200" customFormat="1" ht="15" customHeight="1" x14ac:dyDescent="0.25">
      <c r="A3" s="170"/>
      <c r="B3" s="170"/>
      <c r="C3" s="264"/>
      <c r="D3" s="242">
        <v>43191</v>
      </c>
      <c r="E3" s="242">
        <v>43192</v>
      </c>
      <c r="F3" s="242">
        <v>43193</v>
      </c>
      <c r="G3" s="243">
        <v>43194</v>
      </c>
      <c r="H3" s="242">
        <v>43195</v>
      </c>
      <c r="I3" s="242">
        <v>43196</v>
      </c>
      <c r="J3" s="243">
        <v>43197</v>
      </c>
      <c r="K3" s="242">
        <v>43198</v>
      </c>
      <c r="L3" s="242">
        <v>43199</v>
      </c>
      <c r="M3" s="242">
        <v>43200</v>
      </c>
      <c r="N3" s="242">
        <v>43201</v>
      </c>
      <c r="O3" s="243">
        <v>43202</v>
      </c>
      <c r="P3" s="242">
        <v>43203</v>
      </c>
      <c r="Q3" s="242">
        <v>43204</v>
      </c>
      <c r="R3" s="242">
        <v>43205</v>
      </c>
      <c r="S3" s="243">
        <v>43206</v>
      </c>
      <c r="T3" s="242">
        <v>43207</v>
      </c>
      <c r="U3" s="242">
        <v>43208</v>
      </c>
      <c r="V3" s="242">
        <v>43209</v>
      </c>
      <c r="W3" s="243">
        <v>43210</v>
      </c>
      <c r="X3" s="242">
        <v>43211</v>
      </c>
      <c r="Y3" s="242">
        <v>43212</v>
      </c>
      <c r="Z3" s="242">
        <v>43213</v>
      </c>
      <c r="AA3" s="243">
        <v>43214</v>
      </c>
      <c r="AB3" s="242">
        <v>43215</v>
      </c>
      <c r="AC3" s="242">
        <v>43216</v>
      </c>
      <c r="AD3" s="242">
        <v>43217</v>
      </c>
      <c r="AE3" s="243">
        <v>43218</v>
      </c>
      <c r="AF3" s="242">
        <v>43219</v>
      </c>
      <c r="AG3" s="244">
        <v>43220</v>
      </c>
      <c r="AH3" s="242">
        <v>43221</v>
      </c>
      <c r="AI3" s="243">
        <v>43222</v>
      </c>
      <c r="AJ3" s="242">
        <v>43223</v>
      </c>
      <c r="AK3" s="242">
        <v>43224</v>
      </c>
      <c r="AL3" s="242">
        <v>43225</v>
      </c>
      <c r="AM3" s="243">
        <v>43226</v>
      </c>
      <c r="AN3" s="242">
        <v>43227</v>
      </c>
      <c r="AO3" s="242">
        <v>43228</v>
      </c>
      <c r="AP3" s="242">
        <v>43229</v>
      </c>
      <c r="AQ3" s="243">
        <v>43230</v>
      </c>
      <c r="AR3" s="242">
        <v>43231</v>
      </c>
      <c r="AS3" s="242">
        <v>43232</v>
      </c>
      <c r="AT3" s="242">
        <v>43233</v>
      </c>
      <c r="AU3" s="243">
        <v>43234</v>
      </c>
      <c r="AV3" s="242">
        <v>43235</v>
      </c>
      <c r="AW3" s="242">
        <v>43236</v>
      </c>
      <c r="AX3" s="243">
        <v>43237</v>
      </c>
      <c r="AY3" s="242">
        <v>43238</v>
      </c>
      <c r="AZ3" s="242">
        <v>43239</v>
      </c>
      <c r="BA3" s="242">
        <v>43240</v>
      </c>
      <c r="BB3" s="242">
        <v>43241</v>
      </c>
      <c r="BC3" s="243">
        <v>43242</v>
      </c>
      <c r="BD3" s="242">
        <v>43243</v>
      </c>
      <c r="BE3" s="242">
        <v>43244</v>
      </c>
      <c r="BF3" s="242">
        <v>43245</v>
      </c>
      <c r="BG3" s="243">
        <v>43246</v>
      </c>
      <c r="BH3" s="242">
        <v>43247</v>
      </c>
      <c r="BI3" s="242">
        <v>43248</v>
      </c>
      <c r="BJ3" s="242">
        <v>43249</v>
      </c>
      <c r="BK3" s="243">
        <v>43250</v>
      </c>
      <c r="BL3" s="244">
        <v>43251</v>
      </c>
      <c r="BM3" s="242">
        <v>43252</v>
      </c>
      <c r="BN3" s="243">
        <v>43253</v>
      </c>
      <c r="BO3" s="242">
        <v>43254</v>
      </c>
      <c r="BP3" s="242">
        <v>43255</v>
      </c>
      <c r="BQ3" s="242">
        <v>43256</v>
      </c>
      <c r="BR3" s="242">
        <v>43257</v>
      </c>
      <c r="BS3" s="243">
        <v>43258</v>
      </c>
      <c r="BT3" s="242">
        <v>43259</v>
      </c>
      <c r="BU3" s="242">
        <v>43260</v>
      </c>
      <c r="BV3" s="242">
        <v>43261</v>
      </c>
      <c r="BW3" s="243">
        <v>43262</v>
      </c>
      <c r="BX3" s="242">
        <v>43263</v>
      </c>
      <c r="BY3" s="242">
        <v>43264</v>
      </c>
      <c r="BZ3" s="246">
        <v>43265</v>
      </c>
      <c r="CA3" s="243">
        <v>43266</v>
      </c>
      <c r="CB3" s="242">
        <v>43267</v>
      </c>
      <c r="CC3" s="242">
        <v>43268</v>
      </c>
      <c r="CD3" s="242">
        <v>43269</v>
      </c>
      <c r="CE3" s="243">
        <v>43270</v>
      </c>
      <c r="CF3" s="242">
        <v>43271</v>
      </c>
      <c r="CG3" s="242">
        <v>43272</v>
      </c>
      <c r="CH3" s="242">
        <v>43273</v>
      </c>
      <c r="CI3" s="243">
        <v>43274</v>
      </c>
      <c r="CJ3" s="242">
        <v>43275</v>
      </c>
      <c r="CK3" s="242">
        <v>43276</v>
      </c>
      <c r="CL3" s="242">
        <v>43277</v>
      </c>
      <c r="CM3" s="243">
        <v>43278</v>
      </c>
      <c r="CN3" s="242">
        <v>43279</v>
      </c>
      <c r="CO3" s="242">
        <v>43280</v>
      </c>
      <c r="CP3" s="244">
        <v>43281</v>
      </c>
      <c r="CQ3" s="245"/>
      <c r="CR3" s="230"/>
      <c r="CS3" s="259"/>
      <c r="CT3" s="259"/>
      <c r="CU3" s="259"/>
    </row>
    <row r="4" spans="1:99" s="200" customFormat="1" ht="15" customHeight="1" x14ac:dyDescent="0.25">
      <c r="A4" s="170"/>
      <c r="B4" s="170"/>
      <c r="C4" s="170" t="s">
        <v>158</v>
      </c>
      <c r="D4" s="206" t="s">
        <v>97</v>
      </c>
      <c r="E4" s="207" t="s">
        <v>29</v>
      </c>
      <c r="F4" s="207" t="s">
        <v>98</v>
      </c>
      <c r="G4" s="213" t="s">
        <v>99</v>
      </c>
      <c r="H4" s="207" t="s">
        <v>70</v>
      </c>
      <c r="I4" s="207" t="s">
        <v>95</v>
      </c>
      <c r="J4" s="216" t="s">
        <v>96</v>
      </c>
      <c r="K4" s="206" t="s">
        <v>97</v>
      </c>
      <c r="L4" s="207" t="s">
        <v>29</v>
      </c>
      <c r="M4" s="207" t="s">
        <v>98</v>
      </c>
      <c r="N4" s="207" t="s">
        <v>99</v>
      </c>
      <c r="O4" s="213" t="s">
        <v>70</v>
      </c>
      <c r="P4" s="207" t="s">
        <v>95</v>
      </c>
      <c r="Q4" s="206" t="s">
        <v>96</v>
      </c>
      <c r="R4" s="206" t="s">
        <v>97</v>
      </c>
      <c r="S4" s="213" t="s">
        <v>29</v>
      </c>
      <c r="T4" s="207" t="s">
        <v>98</v>
      </c>
      <c r="U4" s="207" t="s">
        <v>99</v>
      </c>
      <c r="V4" s="207" t="s">
        <v>70</v>
      </c>
      <c r="W4" s="213" t="s">
        <v>95</v>
      </c>
      <c r="X4" s="206" t="s">
        <v>96</v>
      </c>
      <c r="Y4" s="206" t="s">
        <v>97</v>
      </c>
      <c r="Z4" s="207" t="s">
        <v>29</v>
      </c>
      <c r="AA4" s="213" t="s">
        <v>98</v>
      </c>
      <c r="AB4" s="207" t="s">
        <v>99</v>
      </c>
      <c r="AC4" s="207" t="s">
        <v>70</v>
      </c>
      <c r="AD4" s="207" t="s">
        <v>95</v>
      </c>
      <c r="AE4" s="216" t="s">
        <v>96</v>
      </c>
      <c r="AF4" s="206" t="s">
        <v>97</v>
      </c>
      <c r="AG4" s="208" t="s">
        <v>29</v>
      </c>
      <c r="AH4" s="207" t="s">
        <v>98</v>
      </c>
      <c r="AI4" s="213" t="s">
        <v>99</v>
      </c>
      <c r="AJ4" s="207" t="s">
        <v>70</v>
      </c>
      <c r="AK4" s="207" t="s">
        <v>95</v>
      </c>
      <c r="AL4" s="206" t="s">
        <v>96</v>
      </c>
      <c r="AM4" s="216" t="s">
        <v>97</v>
      </c>
      <c r="AN4" s="207" t="s">
        <v>29</v>
      </c>
      <c r="AO4" s="207" t="s">
        <v>98</v>
      </c>
      <c r="AP4" s="207" t="s">
        <v>99</v>
      </c>
      <c r="AQ4" s="213" t="s">
        <v>70</v>
      </c>
      <c r="AR4" s="207" t="s">
        <v>95</v>
      </c>
      <c r="AS4" s="206" t="s">
        <v>96</v>
      </c>
      <c r="AT4" s="206" t="s">
        <v>97</v>
      </c>
      <c r="AU4" s="213" t="s">
        <v>29</v>
      </c>
      <c r="AV4" s="207" t="s">
        <v>98</v>
      </c>
      <c r="AW4" s="207" t="s">
        <v>99</v>
      </c>
      <c r="AX4" s="213" t="s">
        <v>70</v>
      </c>
      <c r="AY4" s="207" t="s">
        <v>95</v>
      </c>
      <c r="AZ4" s="206" t="s">
        <v>96</v>
      </c>
      <c r="BA4" s="206" t="s">
        <v>97</v>
      </c>
      <c r="BB4" s="207" t="s">
        <v>29</v>
      </c>
      <c r="BC4" s="213" t="s">
        <v>98</v>
      </c>
      <c r="BD4" s="207" t="s">
        <v>99</v>
      </c>
      <c r="BE4" s="207" t="s">
        <v>70</v>
      </c>
      <c r="BF4" s="207" t="s">
        <v>95</v>
      </c>
      <c r="BG4" s="216" t="s">
        <v>96</v>
      </c>
      <c r="BH4" s="206" t="s">
        <v>97</v>
      </c>
      <c r="BI4" s="207" t="s">
        <v>29</v>
      </c>
      <c r="BJ4" s="207" t="s">
        <v>98</v>
      </c>
      <c r="BK4" s="213" t="s">
        <v>99</v>
      </c>
      <c r="BL4" s="208" t="s">
        <v>70</v>
      </c>
      <c r="BM4" s="207" t="s">
        <v>95</v>
      </c>
      <c r="BN4" s="216" t="s">
        <v>96</v>
      </c>
      <c r="BO4" s="206" t="s">
        <v>97</v>
      </c>
      <c r="BP4" s="207" t="s">
        <v>29</v>
      </c>
      <c r="BQ4" s="207" t="s">
        <v>98</v>
      </c>
      <c r="BR4" s="207" t="s">
        <v>99</v>
      </c>
      <c r="BS4" s="213" t="s">
        <v>70</v>
      </c>
      <c r="BT4" s="207" t="s">
        <v>95</v>
      </c>
      <c r="BU4" s="206" t="s">
        <v>96</v>
      </c>
      <c r="BV4" s="206" t="s">
        <v>97</v>
      </c>
      <c r="BW4" s="213" t="s">
        <v>29</v>
      </c>
      <c r="BX4" s="207" t="s">
        <v>98</v>
      </c>
      <c r="BY4" s="239" t="s">
        <v>99</v>
      </c>
      <c r="BZ4" s="207" t="s">
        <v>70</v>
      </c>
      <c r="CA4" s="213" t="s">
        <v>95</v>
      </c>
      <c r="CB4" s="206" t="s">
        <v>96</v>
      </c>
      <c r="CC4" s="206" t="s">
        <v>97</v>
      </c>
      <c r="CD4" s="207" t="s">
        <v>29</v>
      </c>
      <c r="CE4" s="213" t="s">
        <v>98</v>
      </c>
      <c r="CF4" s="207" t="s">
        <v>99</v>
      </c>
      <c r="CG4" s="207" t="s">
        <v>70</v>
      </c>
      <c r="CH4" s="207" t="s">
        <v>95</v>
      </c>
      <c r="CI4" s="216" t="s">
        <v>96</v>
      </c>
      <c r="CJ4" s="206" t="s">
        <v>97</v>
      </c>
      <c r="CK4" s="207" t="s">
        <v>29</v>
      </c>
      <c r="CL4" s="207" t="s">
        <v>98</v>
      </c>
      <c r="CM4" s="213" t="s">
        <v>99</v>
      </c>
      <c r="CN4" s="207" t="s">
        <v>70</v>
      </c>
      <c r="CO4" s="207" t="s">
        <v>95</v>
      </c>
      <c r="CP4" s="237" t="s">
        <v>96</v>
      </c>
      <c r="CR4" s="230"/>
      <c r="CS4" s="259"/>
      <c r="CT4" s="259"/>
      <c r="CU4" s="259"/>
    </row>
    <row r="5" spans="1:99" s="200" customFormat="1" ht="15" customHeight="1" x14ac:dyDescent="0.25">
      <c r="A5" s="170"/>
      <c r="B5" s="170"/>
      <c r="C5" s="170"/>
      <c r="D5" s="209" t="s">
        <v>78</v>
      </c>
      <c r="E5" s="209" t="s">
        <v>80</v>
      </c>
      <c r="F5" s="209" t="s">
        <v>42</v>
      </c>
      <c r="G5" s="214" t="s">
        <v>37</v>
      </c>
      <c r="H5" s="210" t="s">
        <v>25</v>
      </c>
      <c r="I5" s="210" t="s">
        <v>25</v>
      </c>
      <c r="J5" s="217" t="s">
        <v>81</v>
      </c>
      <c r="K5" s="209" t="s">
        <v>22</v>
      </c>
      <c r="L5" s="209" t="s">
        <v>78</v>
      </c>
      <c r="M5" s="209" t="s">
        <v>80</v>
      </c>
      <c r="N5" s="209" t="s">
        <v>23</v>
      </c>
      <c r="O5" s="214" t="s">
        <v>37</v>
      </c>
      <c r="P5" s="211" t="s">
        <v>107</v>
      </c>
      <c r="Q5" s="211" t="s">
        <v>107</v>
      </c>
      <c r="R5" s="211" t="s">
        <v>107</v>
      </c>
      <c r="S5" s="217" t="s">
        <v>31</v>
      </c>
      <c r="T5" s="209" t="s">
        <v>78</v>
      </c>
      <c r="U5" s="209" t="s">
        <v>80</v>
      </c>
      <c r="V5" s="209" t="s">
        <v>42</v>
      </c>
      <c r="W5" s="214" t="s">
        <v>30</v>
      </c>
      <c r="X5" s="210" t="s">
        <v>33</v>
      </c>
      <c r="Y5" s="210" t="s">
        <v>36</v>
      </c>
      <c r="Z5" s="210" t="s">
        <v>24</v>
      </c>
      <c r="AA5" s="217" t="s">
        <v>22</v>
      </c>
      <c r="AB5" s="209" t="s">
        <v>80</v>
      </c>
      <c r="AC5" s="209" t="s">
        <v>79</v>
      </c>
      <c r="AD5" s="209" t="s">
        <v>23</v>
      </c>
      <c r="AE5" s="214" t="s">
        <v>26</v>
      </c>
      <c r="AF5" s="210" t="s">
        <v>25</v>
      </c>
      <c r="AG5" s="238" t="s">
        <v>26</v>
      </c>
      <c r="AH5" s="210" t="s">
        <v>30</v>
      </c>
      <c r="AI5" s="217" t="s">
        <v>31</v>
      </c>
      <c r="AJ5" s="209" t="s">
        <v>78</v>
      </c>
      <c r="AK5" s="209" t="s">
        <v>79</v>
      </c>
      <c r="AL5" s="209" t="s">
        <v>32</v>
      </c>
      <c r="AM5" s="214" t="s">
        <v>24</v>
      </c>
      <c r="AN5" s="210" t="s">
        <v>33</v>
      </c>
      <c r="AO5" s="210" t="s">
        <v>36</v>
      </c>
      <c r="AP5" s="210" t="s">
        <v>24</v>
      </c>
      <c r="AQ5" s="217" t="s">
        <v>22</v>
      </c>
      <c r="AR5" s="209" t="s">
        <v>78</v>
      </c>
      <c r="AS5" s="209" t="s">
        <v>79</v>
      </c>
      <c r="AT5" s="209" t="s">
        <v>23</v>
      </c>
      <c r="AU5" s="214" t="s">
        <v>37</v>
      </c>
      <c r="AV5" s="210" t="s">
        <v>33</v>
      </c>
      <c r="AW5" s="210" t="s">
        <v>26</v>
      </c>
      <c r="AX5" s="217" t="s">
        <v>81</v>
      </c>
      <c r="AY5" s="209" t="s">
        <v>31</v>
      </c>
      <c r="AZ5" s="209" t="s">
        <v>80</v>
      </c>
      <c r="BA5" s="209" t="s">
        <v>79</v>
      </c>
      <c r="BB5" s="209" t="s">
        <v>42</v>
      </c>
      <c r="BC5" s="214" t="s">
        <v>37</v>
      </c>
      <c r="BD5" s="210" t="s">
        <v>25</v>
      </c>
      <c r="BE5" s="210" t="s">
        <v>33</v>
      </c>
      <c r="BF5" s="210" t="s">
        <v>26</v>
      </c>
      <c r="BG5" s="217" t="s">
        <v>22</v>
      </c>
      <c r="BH5" s="209" t="s">
        <v>78</v>
      </c>
      <c r="BI5" s="209" t="s">
        <v>79</v>
      </c>
      <c r="BJ5" s="209" t="s">
        <v>23</v>
      </c>
      <c r="BK5" s="214" t="s">
        <v>45</v>
      </c>
      <c r="BL5" s="238" t="s">
        <v>36</v>
      </c>
      <c r="BM5" s="210" t="s">
        <v>36</v>
      </c>
      <c r="BN5" s="217" t="s">
        <v>78</v>
      </c>
      <c r="BO5" s="209" t="s">
        <v>31</v>
      </c>
      <c r="BP5" s="209" t="s">
        <v>80</v>
      </c>
      <c r="BQ5" s="209" t="s">
        <v>79</v>
      </c>
      <c r="BR5" s="209" t="s">
        <v>42</v>
      </c>
      <c r="BS5" s="214" t="s">
        <v>24</v>
      </c>
      <c r="BT5" s="210" t="s">
        <v>33</v>
      </c>
      <c r="BU5" s="210" t="s">
        <v>25</v>
      </c>
      <c r="BV5" s="210" t="s">
        <v>26</v>
      </c>
      <c r="BW5" s="217" t="s">
        <v>22</v>
      </c>
      <c r="BX5" s="209" t="s">
        <v>78</v>
      </c>
      <c r="BY5" s="240" t="s">
        <v>79</v>
      </c>
      <c r="BZ5" s="209" t="s">
        <v>23</v>
      </c>
      <c r="CA5" s="214" t="s">
        <v>24</v>
      </c>
      <c r="CB5" s="211" t="s">
        <v>107</v>
      </c>
      <c r="CC5" s="211" t="s">
        <v>107</v>
      </c>
      <c r="CD5" s="210" t="s">
        <v>30</v>
      </c>
      <c r="CE5" s="217" t="s">
        <v>31</v>
      </c>
      <c r="CF5" s="209" t="s">
        <v>78</v>
      </c>
      <c r="CG5" s="209" t="s">
        <v>80</v>
      </c>
      <c r="CH5" s="209" t="s">
        <v>32</v>
      </c>
      <c r="CI5" s="214" t="s">
        <v>36</v>
      </c>
      <c r="CJ5" s="210" t="s">
        <v>33</v>
      </c>
      <c r="CK5" s="210" t="s">
        <v>36</v>
      </c>
      <c r="CL5" s="210" t="s">
        <v>24</v>
      </c>
      <c r="CM5" s="217" t="s">
        <v>22</v>
      </c>
      <c r="CN5" s="209" t="s">
        <v>78</v>
      </c>
      <c r="CO5" s="209" t="s">
        <v>79</v>
      </c>
      <c r="CP5" s="212" t="s">
        <v>23</v>
      </c>
      <c r="CR5" s="230"/>
      <c r="CS5" s="259"/>
      <c r="CT5" s="259"/>
      <c r="CU5" s="259"/>
    </row>
    <row r="6" spans="1:99" s="200" customFormat="1" ht="15" customHeight="1" x14ac:dyDescent="0.25">
      <c r="A6" s="170" t="s">
        <v>67</v>
      </c>
      <c r="B6" s="170" t="s">
        <v>68</v>
      </c>
      <c r="C6" s="170" t="s">
        <v>69</v>
      </c>
      <c r="G6" s="215"/>
      <c r="J6" s="215"/>
      <c r="O6" s="215"/>
      <c r="S6" s="215"/>
      <c r="W6" s="215"/>
      <c r="AA6" s="215"/>
      <c r="AE6" s="215"/>
      <c r="AG6" s="201"/>
      <c r="AI6" s="215"/>
      <c r="AM6" s="215"/>
      <c r="AQ6" s="215"/>
      <c r="AU6" s="215"/>
      <c r="AX6" s="215"/>
      <c r="BC6" s="215"/>
      <c r="BG6" s="215"/>
      <c r="BK6" s="215"/>
      <c r="BL6" s="201"/>
      <c r="BN6" s="215"/>
      <c r="BS6" s="215"/>
      <c r="BW6" s="215"/>
      <c r="CA6" s="215"/>
      <c r="CE6" s="215"/>
      <c r="CI6" s="215"/>
      <c r="CM6" s="215"/>
      <c r="CP6" s="201"/>
      <c r="CR6" s="230"/>
      <c r="CS6" s="260"/>
      <c r="CT6" s="260"/>
      <c r="CU6" s="260"/>
    </row>
    <row r="7" spans="1:99" s="204" customFormat="1" ht="20.100000000000001" customHeight="1" x14ac:dyDescent="0.25">
      <c r="A7" s="261" t="s">
        <v>154</v>
      </c>
      <c r="B7" s="261"/>
      <c r="C7" s="261"/>
      <c r="AG7" s="205"/>
      <c r="BL7" s="205"/>
      <c r="CP7" s="205"/>
      <c r="CR7" s="231"/>
    </row>
    <row r="8" spans="1:99" ht="15" customHeight="1" x14ac:dyDescent="0.25">
      <c r="A8" s="170">
        <v>1</v>
      </c>
      <c r="B8" s="170">
        <v>24035352</v>
      </c>
      <c r="C8" s="236" t="s">
        <v>159</v>
      </c>
      <c r="D8" s="199" t="s">
        <v>206</v>
      </c>
      <c r="E8" s="199" t="s">
        <v>206</v>
      </c>
      <c r="F8" s="199" t="s">
        <v>206</v>
      </c>
      <c r="G8" s="199" t="s">
        <v>206</v>
      </c>
      <c r="H8" s="199" t="s">
        <v>206</v>
      </c>
      <c r="I8" s="199" t="s">
        <v>206</v>
      </c>
      <c r="J8" s="199" t="s">
        <v>206</v>
      </c>
      <c r="K8" s="199" t="s">
        <v>206</v>
      </c>
      <c r="L8" s="199" t="s">
        <v>206</v>
      </c>
      <c r="M8" s="199" t="s">
        <v>206</v>
      </c>
      <c r="N8" s="199" t="s">
        <v>83</v>
      </c>
      <c r="O8" s="199" t="s">
        <v>207</v>
      </c>
      <c r="P8" s="199" t="s">
        <v>207</v>
      </c>
      <c r="Q8" s="199" t="s">
        <v>207</v>
      </c>
      <c r="R8" s="199" t="s">
        <v>207</v>
      </c>
      <c r="S8" s="199" t="s">
        <v>83</v>
      </c>
      <c r="T8" s="199" t="s">
        <v>208</v>
      </c>
      <c r="U8" s="199" t="s">
        <v>208</v>
      </c>
      <c r="V8" s="199" t="s">
        <v>208</v>
      </c>
      <c r="W8" s="199" t="s">
        <v>207</v>
      </c>
      <c r="X8" s="199" t="s">
        <v>207</v>
      </c>
      <c r="Y8" s="199" t="s">
        <v>207</v>
      </c>
      <c r="Z8" s="199" t="s">
        <v>207</v>
      </c>
      <c r="AA8" s="199" t="s">
        <v>208</v>
      </c>
      <c r="AB8" s="199" t="s">
        <v>208</v>
      </c>
      <c r="AC8" s="199" t="s">
        <v>208</v>
      </c>
      <c r="AD8" s="199" t="s">
        <v>208</v>
      </c>
      <c r="AE8" s="199" t="s">
        <v>208</v>
      </c>
      <c r="AF8" s="199" t="s">
        <v>208</v>
      </c>
      <c r="AG8" s="203" t="s">
        <v>208</v>
      </c>
      <c r="AH8" s="199" t="s">
        <v>208</v>
      </c>
      <c r="AI8" s="199" t="s">
        <v>83</v>
      </c>
      <c r="AJ8" s="199" t="s">
        <v>208</v>
      </c>
      <c r="AK8" s="199" t="s">
        <v>208</v>
      </c>
      <c r="AL8" s="199" t="s">
        <v>208</v>
      </c>
      <c r="AM8" s="199" t="s">
        <v>208</v>
      </c>
      <c r="AN8" s="199" t="s">
        <v>208</v>
      </c>
      <c r="AO8" s="199" t="s">
        <v>208</v>
      </c>
      <c r="AP8" s="199" t="s">
        <v>208</v>
      </c>
      <c r="AQ8" s="199" t="s">
        <v>208</v>
      </c>
      <c r="AR8" s="199" t="s">
        <v>208</v>
      </c>
      <c r="AS8" s="199" t="s">
        <v>208</v>
      </c>
      <c r="AT8" s="199" t="s">
        <v>208</v>
      </c>
      <c r="AU8" s="199" t="s">
        <v>208</v>
      </c>
      <c r="AV8" s="199" t="s">
        <v>209</v>
      </c>
      <c r="AW8" s="199" t="s">
        <v>209</v>
      </c>
      <c r="AX8" s="199" t="s">
        <v>208</v>
      </c>
      <c r="AY8" s="199" t="s">
        <v>208</v>
      </c>
      <c r="AZ8" s="199" t="s">
        <v>208</v>
      </c>
      <c r="BA8" s="199" t="s">
        <v>208</v>
      </c>
      <c r="BB8" s="199" t="s">
        <v>208</v>
      </c>
      <c r="BC8" s="199" t="s">
        <v>208</v>
      </c>
      <c r="BD8" s="199" t="s">
        <v>208</v>
      </c>
      <c r="BE8" s="199" t="s">
        <v>208</v>
      </c>
      <c r="BF8" s="199" t="s">
        <v>208</v>
      </c>
      <c r="BG8" s="199" t="s">
        <v>208</v>
      </c>
      <c r="BH8" s="199" t="s">
        <v>208</v>
      </c>
      <c r="BI8" s="199" t="s">
        <v>208</v>
      </c>
      <c r="BJ8" s="199" t="s">
        <v>208</v>
      </c>
      <c r="BK8" s="199" t="s">
        <v>208</v>
      </c>
      <c r="BL8" s="203" t="s">
        <v>208</v>
      </c>
      <c r="BM8" s="199" t="s">
        <v>208</v>
      </c>
      <c r="BN8" s="199" t="s">
        <v>208</v>
      </c>
      <c r="BO8" s="199" t="s">
        <v>208</v>
      </c>
      <c r="BP8" s="199" t="s">
        <v>208</v>
      </c>
      <c r="BQ8" s="199" t="s">
        <v>208</v>
      </c>
      <c r="BR8" s="199" t="s">
        <v>208</v>
      </c>
      <c r="BS8" s="199" t="s">
        <v>208</v>
      </c>
      <c r="BT8" s="199" t="s">
        <v>208</v>
      </c>
      <c r="BU8" s="199" t="s">
        <v>208</v>
      </c>
      <c r="BV8" s="199" t="s">
        <v>208</v>
      </c>
      <c r="BW8" s="199" t="s">
        <v>208</v>
      </c>
      <c r="BX8" s="199" t="s">
        <v>208</v>
      </c>
      <c r="BY8" s="199" t="s">
        <v>208</v>
      </c>
      <c r="BZ8" s="199" t="s">
        <v>208</v>
      </c>
      <c r="CA8" s="199" t="s">
        <v>208</v>
      </c>
      <c r="CB8" s="199" t="s">
        <v>208</v>
      </c>
      <c r="CC8" s="199" t="s">
        <v>208</v>
      </c>
      <c r="CD8" s="199" t="s">
        <v>208</v>
      </c>
      <c r="CE8" s="199" t="s">
        <v>208</v>
      </c>
      <c r="CF8" s="199" t="s">
        <v>208</v>
      </c>
      <c r="CG8" s="199" t="s">
        <v>208</v>
      </c>
      <c r="CH8" s="199" t="s">
        <v>208</v>
      </c>
      <c r="CI8" s="199" t="s">
        <v>208</v>
      </c>
      <c r="CJ8" s="199" t="s">
        <v>208</v>
      </c>
      <c r="CK8" s="199" t="s">
        <v>208</v>
      </c>
      <c r="CL8" s="199" t="s">
        <v>208</v>
      </c>
      <c r="CM8" s="199" t="s">
        <v>208</v>
      </c>
      <c r="CN8" s="199" t="s">
        <v>208</v>
      </c>
      <c r="CO8" s="199" t="s">
        <v>208</v>
      </c>
      <c r="CP8" s="203" t="s">
        <v>206</v>
      </c>
      <c r="CQ8" s="199"/>
      <c r="CS8" s="198">
        <f>COUNTIFS($D8:$CQ8,"",$D$5:$CQ$5,"&lt;&gt;"&amp;"A*",$D$3:$CQ$3,"&lt;&gt;")+COUNTIFS($D8:$CQ8,"X",$D$5:$CQ$5,"&lt;&gt;"&amp;"A*",$D$3:$CQ$3,"&lt;&gt;")+COUNTIFS($D8:$CQ8,"O",$D$5:$CQ$5,"&lt;&gt;"&amp;"A*",$D$3:$CQ$3,"&lt;&gt;")-COUNTIFS($D8:$CQ8,"X",$D$5:$CQ$5,"=GF",$D$3:$CQ$3,"&lt;&gt;")-COUNTIFS($D8:$CQ8,"O",$D$5:$CQ$5,"=GF",$D$3:$CQ$3,"&lt;&gt;")+COUNTIFS($D8:$CQ8,"E",$D$5:$CQ$5,"&lt;&gt;"&amp;"A*",$D$3:$CQ$3,"&lt;&gt;")+COUNTIFS($D8:$CQ8,"V",$D$5:$CQ$5,"&lt;&gt;"&amp;"A*",$D$3:$CQ$3,"&lt;&gt;")+COUNTIFS($D8:$CQ8,"FB",$D$5:$CQ$5,"&lt;&gt;"&amp;"A*",$D$3:$CQ$3,"&lt;&gt;")+COUNTIFS($D8:$CQ8,"T",$D$5:$CQ$5,"&lt;&gt;"&amp;"A*",$D$3:$CQ$3,"&lt;&gt;")+COUNTIFS($D8:$CQ8,"T-DA",$D$5:$CQ$5,"&lt;&gt;"&amp;"A*",$D$3:$CQ$3,"&lt;&gt;")</f>
        <v>39</v>
      </c>
      <c r="CT8" s="198">
        <f>COUNTIFS($D8:$CQ8,"U",$D$5:$CQ$5,"&lt;&gt;"&amp;"A*",$D$3:$CQ$3,"&lt;&gt;")+COUNTIFS($D8:$CQ8,"SU",$D$5:$CQ$5,"&lt;&gt;"&amp;"A*",$D$3:$CQ$3,"&lt;&gt;")+COUNTIFS($D8:$CQ8,"ZU",$D$5:$CQ$5,"&lt;&gt;"&amp;"A*",$D$3:$CQ$3,"&lt;&gt;")+COUNTIFS($D8:$CQ8,"AZV",$D$5:$CQ$5,"&lt;&gt;"&amp;"A*",$D$3:$CQ$3,"&lt;&gt;")</f>
        <v>8</v>
      </c>
      <c r="CU8" s="198">
        <f>COUNTIFS($D8:$CQ8,"U",$D$3:$CQ$3,"&lt;&gt;")+COUNTIFS($D8:$CQ8,"SU",$D$3:$CQ$3,"&lt;&gt;")+COUNTIFS($D8:$CQ8,"ZU",$D$3:$CQ$3,"&lt;&gt;")+COUNTIFS($D8:$CQ8,"AZV",$D$3:$CQ$3,"&lt;&gt;")</f>
        <v>11</v>
      </c>
    </row>
    <row r="9" spans="1:99" ht="15" customHeight="1" x14ac:dyDescent="0.25">
      <c r="A9" s="170">
        <v>2</v>
      </c>
      <c r="B9" s="170">
        <v>24069902</v>
      </c>
      <c r="C9" s="236" t="s">
        <v>160</v>
      </c>
      <c r="D9" s="199" t="s">
        <v>209</v>
      </c>
      <c r="E9" s="199" t="s">
        <v>209</v>
      </c>
      <c r="F9" s="199" t="s">
        <v>209</v>
      </c>
      <c r="G9" s="199" t="s">
        <v>209</v>
      </c>
      <c r="H9" s="199" t="s">
        <v>209</v>
      </c>
      <c r="I9" s="199" t="s">
        <v>209</v>
      </c>
      <c r="J9" s="199" t="s">
        <v>209</v>
      </c>
      <c r="K9" s="199" t="s">
        <v>209</v>
      </c>
      <c r="L9" s="199" t="s">
        <v>209</v>
      </c>
      <c r="M9" s="199" t="s">
        <v>209</v>
      </c>
      <c r="N9" s="199" t="s">
        <v>209</v>
      </c>
      <c r="O9" s="199" t="s">
        <v>209</v>
      </c>
      <c r="P9" s="199" t="s">
        <v>209</v>
      </c>
      <c r="Q9" s="199" t="s">
        <v>209</v>
      </c>
      <c r="R9" s="199" t="s">
        <v>209</v>
      </c>
      <c r="S9" s="199" t="s">
        <v>209</v>
      </c>
      <c r="T9" s="199" t="s">
        <v>209</v>
      </c>
      <c r="U9" s="199" t="s">
        <v>209</v>
      </c>
      <c r="V9" s="199" t="s">
        <v>209</v>
      </c>
      <c r="W9" s="199" t="s">
        <v>209</v>
      </c>
      <c r="X9" s="199" t="s">
        <v>209</v>
      </c>
      <c r="Y9" s="199" t="s">
        <v>209</v>
      </c>
      <c r="Z9" s="199" t="s">
        <v>209</v>
      </c>
      <c r="AA9" s="199" t="s">
        <v>209</v>
      </c>
      <c r="AB9" s="199" t="s">
        <v>209</v>
      </c>
      <c r="AC9" s="199" t="s">
        <v>209</v>
      </c>
      <c r="AD9" s="199" t="s">
        <v>209</v>
      </c>
      <c r="AE9" s="199" t="s">
        <v>209</v>
      </c>
      <c r="AF9" s="199" t="s">
        <v>209</v>
      </c>
      <c r="AG9" s="203" t="s">
        <v>209</v>
      </c>
      <c r="AH9" s="199" t="s">
        <v>209</v>
      </c>
      <c r="AI9" s="199" t="s">
        <v>209</v>
      </c>
      <c r="AJ9" s="199" t="s">
        <v>209</v>
      </c>
      <c r="AK9" s="199" t="s">
        <v>209</v>
      </c>
      <c r="AL9" s="199" t="s">
        <v>209</v>
      </c>
      <c r="AM9" s="199" t="s">
        <v>209</v>
      </c>
      <c r="AN9" s="199" t="s">
        <v>209</v>
      </c>
      <c r="AO9" s="199" t="s">
        <v>209</v>
      </c>
      <c r="AP9" s="199" t="s">
        <v>232</v>
      </c>
      <c r="AQ9" s="199" t="s">
        <v>209</v>
      </c>
      <c r="AR9" s="199" t="s">
        <v>232</v>
      </c>
      <c r="AS9" s="199" t="s">
        <v>209</v>
      </c>
      <c r="AT9" s="199" t="s">
        <v>209</v>
      </c>
      <c r="AU9" s="199" t="s">
        <v>209</v>
      </c>
      <c r="AV9" s="199" t="s">
        <v>209</v>
      </c>
      <c r="AW9" s="199" t="s">
        <v>209</v>
      </c>
      <c r="AX9" s="199" t="s">
        <v>209</v>
      </c>
      <c r="AY9" s="199" t="s">
        <v>209</v>
      </c>
      <c r="AZ9" s="199" t="s">
        <v>209</v>
      </c>
      <c r="BA9" s="199" t="s">
        <v>209</v>
      </c>
      <c r="BB9" s="199" t="s">
        <v>209</v>
      </c>
      <c r="BC9" s="199" t="s">
        <v>208</v>
      </c>
      <c r="BD9" s="199" t="s">
        <v>208</v>
      </c>
      <c r="BE9" s="199" t="s">
        <v>208</v>
      </c>
      <c r="BF9" s="199" t="s">
        <v>208</v>
      </c>
      <c r="BG9" s="199" t="s">
        <v>206</v>
      </c>
      <c r="BH9" s="199" t="s">
        <v>206</v>
      </c>
      <c r="BI9" s="199" t="s">
        <v>206</v>
      </c>
      <c r="BJ9" s="199" t="s">
        <v>206</v>
      </c>
      <c r="BK9" s="199" t="s">
        <v>206</v>
      </c>
      <c r="BL9" s="203" t="s">
        <v>206</v>
      </c>
      <c r="BM9" s="199" t="s">
        <v>206</v>
      </c>
      <c r="BN9" s="199" t="s">
        <v>206</v>
      </c>
      <c r="BO9" s="199" t="s">
        <v>206</v>
      </c>
      <c r="BP9" s="199" t="s">
        <v>206</v>
      </c>
      <c r="BQ9" s="199" t="s">
        <v>206</v>
      </c>
      <c r="BR9" s="199" t="s">
        <v>206</v>
      </c>
      <c r="BS9" s="199" t="s">
        <v>206</v>
      </c>
      <c r="BT9" s="199" t="s">
        <v>206</v>
      </c>
      <c r="BU9" s="199" t="s">
        <v>206</v>
      </c>
      <c r="BV9" s="199" t="s">
        <v>206</v>
      </c>
      <c r="BW9" s="199" t="s">
        <v>206</v>
      </c>
      <c r="BX9" s="199" t="s">
        <v>206</v>
      </c>
      <c r="BY9" s="199" t="s">
        <v>206</v>
      </c>
      <c r="BZ9" s="199" t="s">
        <v>206</v>
      </c>
      <c r="CA9" s="199" t="s">
        <v>206</v>
      </c>
      <c r="CB9" s="199" t="s">
        <v>206</v>
      </c>
      <c r="CC9" s="199" t="s">
        <v>206</v>
      </c>
      <c r="CD9" s="199" t="s">
        <v>206</v>
      </c>
      <c r="CE9" s="199" t="s">
        <v>206</v>
      </c>
      <c r="CF9" s="199" t="s">
        <v>206</v>
      </c>
      <c r="CG9" s="199" t="s">
        <v>206</v>
      </c>
      <c r="CH9" s="199" t="s">
        <v>83</v>
      </c>
      <c r="CI9" s="199" t="s">
        <v>207</v>
      </c>
      <c r="CJ9" s="199" t="s">
        <v>207</v>
      </c>
      <c r="CK9" s="199" t="s">
        <v>207</v>
      </c>
      <c r="CL9" s="199" t="s">
        <v>209</v>
      </c>
      <c r="CM9" s="199" t="s">
        <v>209</v>
      </c>
      <c r="CN9" s="199" t="s">
        <v>208</v>
      </c>
      <c r="CO9" s="199" t="s">
        <v>208</v>
      </c>
      <c r="CP9" s="203" t="s">
        <v>208</v>
      </c>
      <c r="CQ9" s="199"/>
      <c r="CS9" s="198">
        <f>COUNTIFS($D9:$CQ9,"",$D$5:$CQ$5,"&lt;&gt;"&amp;"A*",$D$3:$CQ$3,"&lt;&gt;")+COUNTIFS($D9:$CQ9,"X",$D$5:$CQ$5,"&lt;&gt;"&amp;"A*",$D$3:$CQ$3,"&lt;&gt;")+COUNTIFS($D9:$CQ9,"O",$D$5:$CQ$5,"&lt;&gt;"&amp;"A*",$D$3:$CQ$3,"&lt;&gt;")-COUNTIFS($D9:$CQ9,"X",$D$5:$CQ$5,"=GF",$D$3:$CQ$3,"&lt;&gt;")-COUNTIFS($D9:$CQ9,"O",$D$5:$CQ$5,"=GF",$D$3:$CQ$3,"&lt;&gt;")+COUNTIFS($D9:$CQ9,"E",$D$5:$CQ$5,"&lt;&gt;"&amp;"A*",$D$3:$CQ$3,"&lt;&gt;")+COUNTIFS($D9:$CQ9,"V",$D$5:$CQ$5,"&lt;&gt;"&amp;"A*",$D$3:$CQ$3,"&lt;&gt;")+COUNTIFS($D9:$CQ9,"FB",$D$5:$CQ$5,"&lt;&gt;"&amp;"A*",$D$3:$CQ$3,"&lt;&gt;")+COUNTIFS($D9:$CQ9,"T",$D$5:$CQ$5,"&lt;&gt;"&amp;"A*",$D$3:$CQ$3,"&lt;&gt;")+COUNTIFS($D9:$CQ9,"T-DA",$D$5:$CQ$5,"&lt;&gt;"&amp;"A*",$D$3:$CQ$3,"&lt;&gt;")</f>
        <v>3</v>
      </c>
      <c r="CT9" s="198">
        <f>COUNTIFS($D9:$CQ9,"U",$D$5:$CQ$5,"&lt;&gt;"&amp;"A*",$D$3:$CQ$3,"&lt;&gt;")+COUNTIFS($D9:$CQ9,"SU",$D$5:$CQ$5,"&lt;&gt;"&amp;"A*",$D$3:$CQ$3,"&lt;&gt;")+COUNTIFS($D9:$CQ9,"ZU",$D$5:$CQ$5,"&lt;&gt;"&amp;"A*",$D$3:$CQ$3,"&lt;&gt;")+COUNTIFS($D9:$CQ9,"AZV",$D$5:$CQ$5,"&lt;&gt;"&amp;"A*",$D$3:$CQ$3,"&lt;&gt;")</f>
        <v>19</v>
      </c>
      <c r="CU9" s="198">
        <f>COUNTIFS($D9:$CQ9,"U",$D$3:$CQ$3,"&lt;&gt;")+COUNTIFS($D9:$CQ9,"SU",$D$3:$CQ$3,"&lt;&gt;")+COUNTIFS($D9:$CQ9,"ZU",$D$3:$CQ$3,"&lt;&gt;")+COUNTIFS($D9:$CQ9,"AZV",$D$3:$CQ$3,"&lt;&gt;")</f>
        <v>29</v>
      </c>
    </row>
    <row r="10" spans="1:99" s="204" customFormat="1" ht="20.100000000000001" customHeight="1" x14ac:dyDescent="0.25">
      <c r="A10" s="261" t="s">
        <v>155</v>
      </c>
      <c r="B10" s="261"/>
      <c r="C10" s="262"/>
      <c r="AG10" s="205"/>
      <c r="BL10" s="205"/>
      <c r="CP10" s="205"/>
      <c r="CR10" s="231"/>
    </row>
    <row r="11" spans="1:99" ht="15" customHeight="1" x14ac:dyDescent="0.25">
      <c r="A11" s="170">
        <v>3</v>
      </c>
      <c r="B11" s="170">
        <v>24035420</v>
      </c>
      <c r="C11" s="236" t="s">
        <v>161</v>
      </c>
      <c r="D11" s="199" t="s">
        <v>208</v>
      </c>
      <c r="E11" s="199" t="s">
        <v>208</v>
      </c>
      <c r="F11" s="199" t="s">
        <v>224</v>
      </c>
      <c r="G11" s="199" t="s">
        <v>207</v>
      </c>
      <c r="H11" s="199" t="s">
        <v>207</v>
      </c>
      <c r="I11" s="199" t="s">
        <v>207</v>
      </c>
      <c r="J11" s="199" t="s">
        <v>83</v>
      </c>
      <c r="K11" s="199" t="s">
        <v>208</v>
      </c>
      <c r="L11" s="199" t="s">
        <v>208</v>
      </c>
      <c r="M11" s="199" t="s">
        <v>208</v>
      </c>
      <c r="N11" s="199" t="s">
        <v>208</v>
      </c>
      <c r="O11" s="199" t="s">
        <v>208</v>
      </c>
      <c r="P11" s="199" t="s">
        <v>208</v>
      </c>
      <c r="Q11" s="199" t="s">
        <v>208</v>
      </c>
      <c r="R11" s="199" t="s">
        <v>208</v>
      </c>
      <c r="S11" s="199" t="s">
        <v>208</v>
      </c>
      <c r="T11" s="199" t="s">
        <v>83</v>
      </c>
      <c r="U11" s="199" t="s">
        <v>208</v>
      </c>
      <c r="V11" s="199" t="s">
        <v>208</v>
      </c>
      <c r="W11" s="199" t="s">
        <v>210</v>
      </c>
      <c r="X11" s="199" t="s">
        <v>210</v>
      </c>
      <c r="Y11" s="199" t="s">
        <v>210</v>
      </c>
      <c r="Z11" s="199" t="s">
        <v>210</v>
      </c>
      <c r="AA11" s="199" t="s">
        <v>208</v>
      </c>
      <c r="AB11" s="199" t="s">
        <v>208</v>
      </c>
      <c r="AC11" s="199" t="s">
        <v>208</v>
      </c>
      <c r="AD11" s="199" t="s">
        <v>208</v>
      </c>
      <c r="AE11" s="199" t="s">
        <v>208</v>
      </c>
      <c r="AF11" s="199" t="s">
        <v>208</v>
      </c>
      <c r="AG11" s="203" t="s">
        <v>208</v>
      </c>
      <c r="AH11" s="199" t="s">
        <v>208</v>
      </c>
      <c r="AI11" s="199" t="s">
        <v>83</v>
      </c>
      <c r="AJ11" s="199" t="s">
        <v>208</v>
      </c>
      <c r="AK11" s="199" t="s">
        <v>208</v>
      </c>
      <c r="AL11" s="199" t="s">
        <v>208</v>
      </c>
      <c r="AM11" s="199" t="s">
        <v>208</v>
      </c>
      <c r="AN11" s="199" t="s">
        <v>210</v>
      </c>
      <c r="AO11" s="199" t="s">
        <v>208</v>
      </c>
      <c r="AP11" s="199" t="s">
        <v>208</v>
      </c>
      <c r="AQ11" s="199" t="s">
        <v>208</v>
      </c>
      <c r="AR11" s="199" t="s">
        <v>208</v>
      </c>
      <c r="AS11" s="199" t="s">
        <v>208</v>
      </c>
      <c r="AT11" s="199" t="s">
        <v>208</v>
      </c>
      <c r="AU11" s="199" t="s">
        <v>208</v>
      </c>
      <c r="AV11" s="199" t="s">
        <v>208</v>
      </c>
      <c r="AW11" s="199" t="s">
        <v>208</v>
      </c>
      <c r="AX11" s="199" t="s">
        <v>208</v>
      </c>
      <c r="AY11" s="199" t="s">
        <v>224</v>
      </c>
      <c r="AZ11" s="199" t="s">
        <v>224</v>
      </c>
      <c r="BA11" s="199" t="s">
        <v>224</v>
      </c>
      <c r="BB11" s="199" t="s">
        <v>224</v>
      </c>
      <c r="BC11" s="199" t="s">
        <v>224</v>
      </c>
      <c r="BD11" s="199" t="s">
        <v>224</v>
      </c>
      <c r="BE11" s="199" t="s">
        <v>224</v>
      </c>
      <c r="BF11" s="199" t="s">
        <v>224</v>
      </c>
      <c r="BG11" s="199" t="s">
        <v>224</v>
      </c>
      <c r="BH11" s="199" t="s">
        <v>224</v>
      </c>
      <c r="BI11" s="199" t="s">
        <v>208</v>
      </c>
      <c r="BJ11" s="199" t="s">
        <v>208</v>
      </c>
      <c r="BK11" s="199" t="s">
        <v>208</v>
      </c>
      <c r="BL11" s="203" t="s">
        <v>208</v>
      </c>
      <c r="BM11" s="199" t="s">
        <v>208</v>
      </c>
      <c r="BN11" s="199" t="s">
        <v>208</v>
      </c>
      <c r="BO11" s="199" t="s">
        <v>208</v>
      </c>
      <c r="BP11" s="199" t="s">
        <v>208</v>
      </c>
      <c r="BQ11" s="199" t="s">
        <v>208</v>
      </c>
      <c r="BR11" s="199" t="s">
        <v>208</v>
      </c>
      <c r="BS11" s="199" t="s">
        <v>208</v>
      </c>
      <c r="BT11" s="199" t="s">
        <v>208</v>
      </c>
      <c r="BU11" s="199" t="s">
        <v>208</v>
      </c>
      <c r="BV11" s="199" t="s">
        <v>208</v>
      </c>
      <c r="BW11" s="199" t="s">
        <v>208</v>
      </c>
      <c r="BX11" s="199" t="s">
        <v>208</v>
      </c>
      <c r="BY11" s="199" t="s">
        <v>83</v>
      </c>
      <c r="BZ11" s="199" t="s">
        <v>208</v>
      </c>
      <c r="CA11" s="199" t="s">
        <v>208</v>
      </c>
      <c r="CB11" s="199" t="s">
        <v>208</v>
      </c>
      <c r="CC11" s="199" t="s">
        <v>208</v>
      </c>
      <c r="CD11" s="199" t="s">
        <v>208</v>
      </c>
      <c r="CE11" s="199" t="s">
        <v>232</v>
      </c>
      <c r="CF11" s="199" t="s">
        <v>232</v>
      </c>
      <c r="CG11" s="199" t="s">
        <v>83</v>
      </c>
      <c r="CH11" s="199" t="s">
        <v>232</v>
      </c>
      <c r="CI11" s="199" t="s">
        <v>208</v>
      </c>
      <c r="CJ11" s="199" t="s">
        <v>208</v>
      </c>
      <c r="CK11" s="199" t="s">
        <v>208</v>
      </c>
      <c r="CL11" s="199" t="s">
        <v>208</v>
      </c>
      <c r="CM11" s="199" t="s">
        <v>208</v>
      </c>
      <c r="CN11" s="199" t="s">
        <v>208</v>
      </c>
      <c r="CO11" s="199" t="s">
        <v>208</v>
      </c>
      <c r="CP11" s="203" t="s">
        <v>208</v>
      </c>
      <c r="CQ11" s="199"/>
      <c r="CS11" s="198">
        <f t="shared" ref="CS11:CS16" si="0">COUNTIFS($D11:$CQ11,"",$D$5:$CQ$5,"&lt;&gt;"&amp;"A*",$D$3:$CQ$3,"&lt;&gt;")+COUNTIFS($D11:$CQ11,"X",$D$5:$CQ$5,"&lt;&gt;"&amp;"A*",$D$3:$CQ$3,"&lt;&gt;")+COUNTIFS($D11:$CQ11,"O",$D$5:$CQ$5,"&lt;&gt;"&amp;"A*",$D$3:$CQ$3,"&lt;&gt;")-COUNTIFS($D11:$CQ11,"X",$D$5:$CQ$5,"=GF",$D$3:$CQ$3,"&lt;&gt;")-COUNTIFS($D11:$CQ11,"O",$D$5:$CQ$5,"=GF",$D$3:$CQ$3,"&lt;&gt;")+COUNTIFS($D11:$CQ11,"E",$D$5:$CQ$5,"&lt;&gt;"&amp;"A*",$D$3:$CQ$3,"&lt;&gt;")+COUNTIFS($D11:$CQ11,"V",$D$5:$CQ$5,"&lt;&gt;"&amp;"A*",$D$3:$CQ$3,"&lt;&gt;")+COUNTIFS($D11:$CQ11,"FB",$D$5:$CQ$5,"&lt;&gt;"&amp;"A*",$D$3:$CQ$3,"&lt;&gt;")+COUNTIFS($D11:$CQ11,"T",$D$5:$CQ$5,"&lt;&gt;"&amp;"A*",$D$3:$CQ$3,"&lt;&gt;")+COUNTIFS($D11:$CQ11,"T-DA",$D$5:$CQ$5,"&lt;&gt;"&amp;"A*",$D$3:$CQ$3,"&lt;&gt;")</f>
        <v>35</v>
      </c>
      <c r="CT11" s="198">
        <f t="shared" ref="CT11:CT16" si="1">COUNTIFS($D11:$CQ11,"U",$D$5:$CQ$5,"&lt;&gt;"&amp;"A*",$D$3:$CQ$3,"&lt;&gt;")+COUNTIFS($D11:$CQ11,"SU",$D$5:$CQ$5,"&lt;&gt;"&amp;"A*",$D$3:$CQ$3,"&lt;&gt;")+COUNTIFS($D11:$CQ11,"ZU",$D$5:$CQ$5,"&lt;&gt;"&amp;"A*",$D$3:$CQ$3,"&lt;&gt;")+COUNTIFS($D11:$CQ11,"AZV",$D$5:$CQ$5,"&lt;&gt;"&amp;"A*",$D$3:$CQ$3,"&lt;&gt;")</f>
        <v>3</v>
      </c>
      <c r="CU11" s="198">
        <f t="shared" ref="CU11:CU16" si="2">COUNTIFS($D11:$CQ11,"U",$D$3:$CQ$3,"&lt;&gt;")+COUNTIFS($D11:$CQ11,"SU",$D$3:$CQ$3,"&lt;&gt;")+COUNTIFS($D11:$CQ11,"ZU",$D$3:$CQ$3,"&lt;&gt;")+COUNTIFS($D11:$CQ11,"AZV",$D$3:$CQ$3,"&lt;&gt;")</f>
        <v>3</v>
      </c>
    </row>
    <row r="12" spans="1:99" ht="15" customHeight="1" x14ac:dyDescent="0.25">
      <c r="A12" s="170">
        <v>4</v>
      </c>
      <c r="B12" s="170">
        <v>24237144</v>
      </c>
      <c r="C12" s="236" t="s">
        <v>162</v>
      </c>
      <c r="D12" s="199" t="s">
        <v>208</v>
      </c>
      <c r="E12" s="199" t="s">
        <v>208</v>
      </c>
      <c r="F12" s="199" t="s">
        <v>208</v>
      </c>
      <c r="G12" s="199" t="s">
        <v>208</v>
      </c>
      <c r="H12" s="199" t="s">
        <v>208</v>
      </c>
      <c r="I12" s="199" t="s">
        <v>208</v>
      </c>
      <c r="J12" s="199" t="s">
        <v>83</v>
      </c>
      <c r="K12" s="199" t="s">
        <v>208</v>
      </c>
      <c r="L12" s="199" t="s">
        <v>208</v>
      </c>
      <c r="M12" s="199" t="s">
        <v>208</v>
      </c>
      <c r="N12" s="199" t="s">
        <v>208</v>
      </c>
      <c r="O12" s="199" t="s">
        <v>208</v>
      </c>
      <c r="P12" s="199" t="s">
        <v>208</v>
      </c>
      <c r="Q12" s="199" t="s">
        <v>208</v>
      </c>
      <c r="R12" s="199" t="s">
        <v>208</v>
      </c>
      <c r="S12" s="199" t="s">
        <v>208</v>
      </c>
      <c r="T12" s="199" t="s">
        <v>208</v>
      </c>
      <c r="U12" s="199" t="s">
        <v>208</v>
      </c>
      <c r="V12" s="199" t="s">
        <v>208</v>
      </c>
      <c r="W12" s="199" t="s">
        <v>208</v>
      </c>
      <c r="X12" s="199" t="s">
        <v>208</v>
      </c>
      <c r="Y12" s="199" t="s">
        <v>208</v>
      </c>
      <c r="Z12" s="199" t="s">
        <v>207</v>
      </c>
      <c r="AA12" s="199" t="s">
        <v>208</v>
      </c>
      <c r="AB12" s="199" t="s">
        <v>208</v>
      </c>
      <c r="AC12" s="199" t="s">
        <v>208</v>
      </c>
      <c r="AD12" s="199" t="s">
        <v>208</v>
      </c>
      <c r="AE12" s="199" t="s">
        <v>208</v>
      </c>
      <c r="AF12" s="199" t="s">
        <v>208</v>
      </c>
      <c r="AG12" s="203" t="s">
        <v>208</v>
      </c>
      <c r="AH12" s="199" t="s">
        <v>208</v>
      </c>
      <c r="AI12" s="199" t="s">
        <v>83</v>
      </c>
      <c r="AJ12" s="199" t="s">
        <v>208</v>
      </c>
      <c r="AK12" s="199" t="s">
        <v>208</v>
      </c>
      <c r="AL12" s="199" t="s">
        <v>208</v>
      </c>
      <c r="AM12" s="199" t="s">
        <v>208</v>
      </c>
      <c r="AN12" s="199" t="s">
        <v>208</v>
      </c>
      <c r="AO12" s="199" t="s">
        <v>208</v>
      </c>
      <c r="AP12" s="199" t="s">
        <v>208</v>
      </c>
      <c r="AQ12" s="199" t="s">
        <v>208</v>
      </c>
      <c r="AR12" s="199" t="s">
        <v>208</v>
      </c>
      <c r="AS12" s="199" t="s">
        <v>208</v>
      </c>
      <c r="AT12" s="199" t="s">
        <v>208</v>
      </c>
      <c r="AU12" s="199" t="s">
        <v>208</v>
      </c>
      <c r="AV12" s="199" t="s">
        <v>210</v>
      </c>
      <c r="AW12" s="199" t="s">
        <v>210</v>
      </c>
      <c r="AX12" s="199" t="s">
        <v>208</v>
      </c>
      <c r="AY12" s="199" t="s">
        <v>208</v>
      </c>
      <c r="AZ12" s="199" t="s">
        <v>208</v>
      </c>
      <c r="BA12" s="199" t="s">
        <v>208</v>
      </c>
      <c r="BB12" s="199" t="s">
        <v>208</v>
      </c>
      <c r="BC12" s="199" t="s">
        <v>208</v>
      </c>
      <c r="BD12" s="199" t="s">
        <v>208</v>
      </c>
      <c r="BE12" s="199" t="s">
        <v>208</v>
      </c>
      <c r="BF12" s="199" t="s">
        <v>208</v>
      </c>
      <c r="BG12" s="199" t="s">
        <v>208</v>
      </c>
      <c r="BH12" s="199" t="s">
        <v>208</v>
      </c>
      <c r="BI12" s="199" t="s">
        <v>208</v>
      </c>
      <c r="BJ12" s="199" t="s">
        <v>208</v>
      </c>
      <c r="BK12" s="199" t="s">
        <v>208</v>
      </c>
      <c r="BL12" s="203" t="s">
        <v>207</v>
      </c>
      <c r="BM12" s="199" t="s">
        <v>207</v>
      </c>
      <c r="BN12" s="199" t="s">
        <v>208</v>
      </c>
      <c r="BO12" s="199" t="s">
        <v>208</v>
      </c>
      <c r="BP12" s="199" t="s">
        <v>208</v>
      </c>
      <c r="BQ12" s="199" t="s">
        <v>208</v>
      </c>
      <c r="BR12" s="199" t="s">
        <v>208</v>
      </c>
      <c r="BS12" s="199" t="s">
        <v>208</v>
      </c>
      <c r="BT12" s="199" t="s">
        <v>208</v>
      </c>
      <c r="BU12" s="199" t="s">
        <v>208</v>
      </c>
      <c r="BV12" s="199" t="s">
        <v>208</v>
      </c>
      <c r="BW12" s="199" t="s">
        <v>208</v>
      </c>
      <c r="BX12" s="199" t="s">
        <v>208</v>
      </c>
      <c r="BY12" s="199" t="s">
        <v>208</v>
      </c>
      <c r="BZ12" s="199" t="s">
        <v>208</v>
      </c>
      <c r="CA12" s="199" t="s">
        <v>208</v>
      </c>
      <c r="CB12" s="199" t="s">
        <v>210</v>
      </c>
      <c r="CC12" s="199" t="s">
        <v>210</v>
      </c>
      <c r="CD12" s="199" t="s">
        <v>210</v>
      </c>
      <c r="CE12" s="199" t="s">
        <v>208</v>
      </c>
      <c r="CF12" s="199" t="s">
        <v>208</v>
      </c>
      <c r="CG12" s="199" t="s">
        <v>208</v>
      </c>
      <c r="CH12" s="199" t="s">
        <v>208</v>
      </c>
      <c r="CI12" s="199" t="s">
        <v>210</v>
      </c>
      <c r="CJ12" s="199" t="s">
        <v>208</v>
      </c>
      <c r="CK12" s="199" t="s">
        <v>208</v>
      </c>
      <c r="CL12" s="199" t="s">
        <v>208</v>
      </c>
      <c r="CM12" s="199" t="s">
        <v>208</v>
      </c>
      <c r="CN12" s="199" t="s">
        <v>208</v>
      </c>
      <c r="CO12" s="199" t="s">
        <v>208</v>
      </c>
      <c r="CP12" s="203" t="s">
        <v>208</v>
      </c>
      <c r="CQ12" s="199"/>
      <c r="CS12" s="198">
        <f t="shared" si="0"/>
        <v>48</v>
      </c>
      <c r="CT12" s="198">
        <f t="shared" si="1"/>
        <v>0</v>
      </c>
      <c r="CU12" s="198">
        <f t="shared" si="2"/>
        <v>0</v>
      </c>
    </row>
    <row r="13" spans="1:99" ht="15" customHeight="1" x14ac:dyDescent="0.25">
      <c r="A13" s="170">
        <v>5</v>
      </c>
      <c r="B13" s="170">
        <v>24225141</v>
      </c>
      <c r="C13" s="236" t="s">
        <v>163</v>
      </c>
      <c r="D13" s="199" t="s">
        <v>211</v>
      </c>
      <c r="E13" s="199" t="s">
        <v>211</v>
      </c>
      <c r="F13" s="199" t="s">
        <v>211</v>
      </c>
      <c r="G13" s="199" t="s">
        <v>211</v>
      </c>
      <c r="H13" s="199" t="s">
        <v>211</v>
      </c>
      <c r="I13" s="199" t="s">
        <v>211</v>
      </c>
      <c r="J13" s="199" t="s">
        <v>211</v>
      </c>
      <c r="K13" s="199" t="s">
        <v>211</v>
      </c>
      <c r="L13" s="199" t="s">
        <v>211</v>
      </c>
      <c r="M13" s="199" t="s">
        <v>211</v>
      </c>
      <c r="N13" s="199" t="s">
        <v>211</v>
      </c>
      <c r="O13" s="199" t="s">
        <v>211</v>
      </c>
      <c r="P13" s="199" t="s">
        <v>211</v>
      </c>
      <c r="Q13" s="199" t="s">
        <v>211</v>
      </c>
      <c r="R13" s="199" t="s">
        <v>211</v>
      </c>
      <c r="S13" s="199" t="s">
        <v>211</v>
      </c>
      <c r="T13" s="199" t="s">
        <v>211</v>
      </c>
      <c r="U13" s="199" t="s">
        <v>211</v>
      </c>
      <c r="V13" s="199" t="s">
        <v>211</v>
      </c>
      <c r="W13" s="199" t="s">
        <v>211</v>
      </c>
      <c r="X13" s="199" t="s">
        <v>211</v>
      </c>
      <c r="Y13" s="199" t="s">
        <v>211</v>
      </c>
      <c r="Z13" s="199" t="s">
        <v>211</v>
      </c>
      <c r="AA13" s="199" t="s">
        <v>211</v>
      </c>
      <c r="AB13" s="199" t="s">
        <v>211</v>
      </c>
      <c r="AC13" s="199" t="s">
        <v>211</v>
      </c>
      <c r="AD13" s="199" t="s">
        <v>211</v>
      </c>
      <c r="AE13" s="199" t="s">
        <v>211</v>
      </c>
      <c r="AF13" s="199" t="s">
        <v>211</v>
      </c>
      <c r="AG13" s="203" t="s">
        <v>211</v>
      </c>
      <c r="AH13" s="199" t="s">
        <v>211</v>
      </c>
      <c r="AI13" s="199" t="s">
        <v>211</v>
      </c>
      <c r="AJ13" s="199" t="s">
        <v>211</v>
      </c>
      <c r="AK13" s="199" t="s">
        <v>211</v>
      </c>
      <c r="AL13" s="199" t="s">
        <v>211</v>
      </c>
      <c r="AM13" s="199" t="s">
        <v>211</v>
      </c>
      <c r="AN13" s="199" t="s">
        <v>211</v>
      </c>
      <c r="AO13" s="199" t="s">
        <v>211</v>
      </c>
      <c r="AP13" s="199" t="s">
        <v>211</v>
      </c>
      <c r="AQ13" s="199" t="s">
        <v>211</v>
      </c>
      <c r="AR13" s="199" t="s">
        <v>211</v>
      </c>
      <c r="AS13" s="199" t="s">
        <v>211</v>
      </c>
      <c r="AT13" s="199" t="s">
        <v>211</v>
      </c>
      <c r="AU13" s="199" t="s">
        <v>211</v>
      </c>
      <c r="AV13" s="199" t="s">
        <v>211</v>
      </c>
      <c r="AW13" s="199" t="s">
        <v>211</v>
      </c>
      <c r="AX13" s="199" t="s">
        <v>211</v>
      </c>
      <c r="AY13" s="199" t="s">
        <v>211</v>
      </c>
      <c r="AZ13" s="199" t="s">
        <v>211</v>
      </c>
      <c r="BA13" s="199" t="s">
        <v>211</v>
      </c>
      <c r="BB13" s="199" t="s">
        <v>211</v>
      </c>
      <c r="BC13" s="199" t="s">
        <v>211</v>
      </c>
      <c r="BD13" s="199" t="s">
        <v>211</v>
      </c>
      <c r="BE13" s="199" t="s">
        <v>211</v>
      </c>
      <c r="BF13" s="199" t="s">
        <v>211</v>
      </c>
      <c r="BG13" s="199" t="s">
        <v>211</v>
      </c>
      <c r="BH13" s="199" t="s">
        <v>211</v>
      </c>
      <c r="BI13" s="199" t="s">
        <v>211</v>
      </c>
      <c r="BJ13" s="199" t="s">
        <v>211</v>
      </c>
      <c r="BK13" s="199" t="s">
        <v>211</v>
      </c>
      <c r="BL13" s="203" t="s">
        <v>211</v>
      </c>
      <c r="BM13" s="199" t="s">
        <v>211</v>
      </c>
      <c r="BN13" s="199" t="s">
        <v>211</v>
      </c>
      <c r="BO13" s="199" t="s">
        <v>211</v>
      </c>
      <c r="BP13" s="199" t="s">
        <v>211</v>
      </c>
      <c r="BQ13" s="199" t="s">
        <v>211</v>
      </c>
      <c r="BR13" s="199" t="s">
        <v>211</v>
      </c>
      <c r="BS13" s="199" t="s">
        <v>211</v>
      </c>
      <c r="BT13" s="199" t="s">
        <v>211</v>
      </c>
      <c r="BU13" s="199" t="s">
        <v>211</v>
      </c>
      <c r="BV13" s="199" t="s">
        <v>211</v>
      </c>
      <c r="BW13" s="199" t="s">
        <v>211</v>
      </c>
      <c r="BX13" s="199" t="s">
        <v>211</v>
      </c>
      <c r="BY13" s="199" t="s">
        <v>211</v>
      </c>
      <c r="BZ13" s="199" t="s">
        <v>211</v>
      </c>
      <c r="CA13" s="199" t="s">
        <v>211</v>
      </c>
      <c r="CB13" s="199" t="s">
        <v>211</v>
      </c>
      <c r="CC13" s="199" t="s">
        <v>211</v>
      </c>
      <c r="CD13" s="199" t="s">
        <v>211</v>
      </c>
      <c r="CE13" s="199" t="s">
        <v>211</v>
      </c>
      <c r="CF13" s="199" t="s">
        <v>211</v>
      </c>
      <c r="CG13" s="199" t="s">
        <v>211</v>
      </c>
      <c r="CH13" s="199" t="s">
        <v>211</v>
      </c>
      <c r="CI13" s="199" t="s">
        <v>211</v>
      </c>
      <c r="CJ13" s="199" t="s">
        <v>211</v>
      </c>
      <c r="CK13" s="199" t="s">
        <v>211</v>
      </c>
      <c r="CL13" s="199" t="s">
        <v>211</v>
      </c>
      <c r="CM13" s="199" t="s">
        <v>211</v>
      </c>
      <c r="CN13" s="199" t="s">
        <v>211</v>
      </c>
      <c r="CO13" s="199" t="s">
        <v>211</v>
      </c>
      <c r="CP13" s="203" t="s">
        <v>211</v>
      </c>
      <c r="CQ13" s="199"/>
      <c r="CS13" s="198">
        <f t="shared" si="0"/>
        <v>0</v>
      </c>
      <c r="CT13" s="198">
        <f t="shared" si="1"/>
        <v>0</v>
      </c>
      <c r="CU13" s="198">
        <f t="shared" si="2"/>
        <v>0</v>
      </c>
    </row>
    <row r="14" spans="1:99" ht="15" customHeight="1" x14ac:dyDescent="0.25">
      <c r="A14" s="170">
        <v>6</v>
      </c>
      <c r="B14" s="170">
        <v>24237195</v>
      </c>
      <c r="C14" s="236" t="s">
        <v>164</v>
      </c>
      <c r="D14" s="199" t="s">
        <v>206</v>
      </c>
      <c r="E14" s="199" t="s">
        <v>206</v>
      </c>
      <c r="F14" s="199" t="s">
        <v>206</v>
      </c>
      <c r="G14" s="199" t="s">
        <v>206</v>
      </c>
      <c r="H14" s="199" t="s">
        <v>206</v>
      </c>
      <c r="I14" s="199" t="s">
        <v>206</v>
      </c>
      <c r="J14" s="199" t="s">
        <v>206</v>
      </c>
      <c r="K14" s="199" t="s">
        <v>206</v>
      </c>
      <c r="L14" s="199" t="s">
        <v>206</v>
      </c>
      <c r="M14" s="199" t="s">
        <v>206</v>
      </c>
      <c r="N14" s="199" t="s">
        <v>206</v>
      </c>
      <c r="O14" s="199" t="s">
        <v>206</v>
      </c>
      <c r="P14" s="199" t="s">
        <v>206</v>
      </c>
      <c r="Q14" s="199" t="s">
        <v>206</v>
      </c>
      <c r="R14" s="199" t="s">
        <v>206</v>
      </c>
      <c r="S14" s="199" t="s">
        <v>206</v>
      </c>
      <c r="T14" s="199" t="s">
        <v>206</v>
      </c>
      <c r="U14" s="199" t="s">
        <v>206</v>
      </c>
      <c r="V14" s="199" t="s">
        <v>83</v>
      </c>
      <c r="W14" s="199" t="s">
        <v>207</v>
      </c>
      <c r="X14" s="199" t="s">
        <v>207</v>
      </c>
      <c r="Y14" s="199" t="s">
        <v>207</v>
      </c>
      <c r="Z14" s="199" t="s">
        <v>207</v>
      </c>
      <c r="AA14" s="199" t="s">
        <v>208</v>
      </c>
      <c r="AB14" s="199" t="s">
        <v>83</v>
      </c>
      <c r="AC14" s="199" t="s">
        <v>208</v>
      </c>
      <c r="AD14" s="199" t="s">
        <v>208</v>
      </c>
      <c r="AE14" s="199" t="s">
        <v>208</v>
      </c>
      <c r="AF14" s="199" t="s">
        <v>208</v>
      </c>
      <c r="AG14" s="203" t="s">
        <v>208</v>
      </c>
      <c r="AH14" s="199" t="s">
        <v>208</v>
      </c>
      <c r="AI14" s="199" t="s">
        <v>83</v>
      </c>
      <c r="AJ14" s="199" t="s">
        <v>208</v>
      </c>
      <c r="AK14" s="199" t="s">
        <v>208</v>
      </c>
      <c r="AL14" s="199" t="s">
        <v>208</v>
      </c>
      <c r="AM14" s="199" t="s">
        <v>208</v>
      </c>
      <c r="AN14" s="199" t="s">
        <v>208</v>
      </c>
      <c r="AO14" s="199" t="s">
        <v>208</v>
      </c>
      <c r="AP14" s="199" t="s">
        <v>208</v>
      </c>
      <c r="AQ14" s="199" t="s">
        <v>208</v>
      </c>
      <c r="AR14" s="199" t="s">
        <v>208</v>
      </c>
      <c r="AS14" s="199" t="s">
        <v>208</v>
      </c>
      <c r="AT14" s="199" t="s">
        <v>208</v>
      </c>
      <c r="AU14" s="199" t="s">
        <v>208</v>
      </c>
      <c r="AV14" s="199" t="s">
        <v>210</v>
      </c>
      <c r="AW14" s="199" t="s">
        <v>208</v>
      </c>
      <c r="AX14" s="199" t="s">
        <v>224</v>
      </c>
      <c r="AY14" s="199" t="s">
        <v>208</v>
      </c>
      <c r="AZ14" s="199" t="s">
        <v>208</v>
      </c>
      <c r="BA14" s="199" t="s">
        <v>208</v>
      </c>
      <c r="BB14" s="199" t="s">
        <v>208</v>
      </c>
      <c r="BC14" s="199" t="s">
        <v>208</v>
      </c>
      <c r="BD14" s="199" t="s">
        <v>208</v>
      </c>
      <c r="BE14" s="199" t="s">
        <v>210</v>
      </c>
      <c r="BF14" s="199" t="s">
        <v>208</v>
      </c>
      <c r="BG14" s="199" t="s">
        <v>208</v>
      </c>
      <c r="BH14" s="199" t="s">
        <v>208</v>
      </c>
      <c r="BI14" s="199" t="s">
        <v>208</v>
      </c>
      <c r="BJ14" s="199" t="s">
        <v>208</v>
      </c>
      <c r="BK14" s="199" t="s">
        <v>208</v>
      </c>
      <c r="BL14" s="203" t="s">
        <v>208</v>
      </c>
      <c r="BM14" s="199" t="s">
        <v>208</v>
      </c>
      <c r="BN14" s="199" t="s">
        <v>83</v>
      </c>
      <c r="BO14" s="199" t="s">
        <v>208</v>
      </c>
      <c r="BP14" s="199" t="s">
        <v>208</v>
      </c>
      <c r="BQ14" s="199" t="s">
        <v>208</v>
      </c>
      <c r="BR14" s="199" t="s">
        <v>208</v>
      </c>
      <c r="BS14" s="199" t="s">
        <v>208</v>
      </c>
      <c r="BT14" s="199" t="s">
        <v>210</v>
      </c>
      <c r="BU14" s="199" t="s">
        <v>208</v>
      </c>
      <c r="BV14" s="199" t="s">
        <v>208</v>
      </c>
      <c r="BW14" s="199" t="s">
        <v>208</v>
      </c>
      <c r="BX14" s="199" t="s">
        <v>208</v>
      </c>
      <c r="BY14" s="199" t="s">
        <v>208</v>
      </c>
      <c r="BZ14" s="199" t="s">
        <v>208</v>
      </c>
      <c r="CA14" s="199" t="s">
        <v>208</v>
      </c>
      <c r="CB14" s="199" t="s">
        <v>36</v>
      </c>
      <c r="CC14" s="199" t="s">
        <v>210</v>
      </c>
      <c r="CD14" s="199" t="s">
        <v>208</v>
      </c>
      <c r="CE14" s="199" t="s">
        <v>208</v>
      </c>
      <c r="CF14" s="199" t="s">
        <v>208</v>
      </c>
      <c r="CG14" s="199" t="s">
        <v>208</v>
      </c>
      <c r="CH14" s="199" t="s">
        <v>83</v>
      </c>
      <c r="CI14" s="199" t="s">
        <v>210</v>
      </c>
      <c r="CJ14" s="199" t="s">
        <v>210</v>
      </c>
      <c r="CK14" s="199" t="s">
        <v>208</v>
      </c>
      <c r="CL14" s="199" t="s">
        <v>208</v>
      </c>
      <c r="CM14" s="199" t="s">
        <v>208</v>
      </c>
      <c r="CN14" s="199" t="s">
        <v>208</v>
      </c>
      <c r="CO14" s="199" t="s">
        <v>208</v>
      </c>
      <c r="CP14" s="203" t="s">
        <v>208</v>
      </c>
      <c r="CQ14" s="199"/>
      <c r="CS14" s="198">
        <f t="shared" si="0"/>
        <v>33</v>
      </c>
      <c r="CT14" s="198">
        <f t="shared" si="1"/>
        <v>14</v>
      </c>
      <c r="CU14" s="198">
        <f t="shared" si="2"/>
        <v>18</v>
      </c>
    </row>
    <row r="15" spans="1:99" ht="15" customHeight="1" x14ac:dyDescent="0.25">
      <c r="A15" s="170">
        <v>7</v>
      </c>
      <c r="B15" s="170">
        <v>24243530</v>
      </c>
      <c r="C15" s="236" t="s">
        <v>165</v>
      </c>
      <c r="D15" s="199" t="s">
        <v>208</v>
      </c>
      <c r="E15" s="199" t="s">
        <v>208</v>
      </c>
      <c r="F15" s="199" t="s">
        <v>232</v>
      </c>
      <c r="G15" s="199" t="s">
        <v>210</v>
      </c>
      <c r="H15" s="199" t="s">
        <v>210</v>
      </c>
      <c r="I15" s="199" t="s">
        <v>210</v>
      </c>
      <c r="J15" s="199" t="s">
        <v>208</v>
      </c>
      <c r="K15" s="199" t="s">
        <v>208</v>
      </c>
      <c r="L15" s="199" t="s">
        <v>208</v>
      </c>
      <c r="M15" s="199" t="s">
        <v>208</v>
      </c>
      <c r="N15" s="199" t="s">
        <v>208</v>
      </c>
      <c r="O15" s="199" t="s">
        <v>208</v>
      </c>
      <c r="P15" s="199" t="s">
        <v>208</v>
      </c>
      <c r="Q15" s="199" t="s">
        <v>208</v>
      </c>
      <c r="R15" s="199" t="s">
        <v>208</v>
      </c>
      <c r="S15" s="199" t="s">
        <v>208</v>
      </c>
      <c r="T15" s="199" t="s">
        <v>208</v>
      </c>
      <c r="U15" s="199" t="s">
        <v>208</v>
      </c>
      <c r="V15" s="199" t="s">
        <v>208</v>
      </c>
      <c r="W15" s="199" t="s">
        <v>208</v>
      </c>
      <c r="X15" s="199" t="s">
        <v>210</v>
      </c>
      <c r="Y15" s="199" t="s">
        <v>210</v>
      </c>
      <c r="Z15" s="199" t="s">
        <v>210</v>
      </c>
      <c r="AA15" s="199" t="s">
        <v>208</v>
      </c>
      <c r="AB15" s="199" t="s">
        <v>83</v>
      </c>
      <c r="AC15" s="199" t="s">
        <v>208</v>
      </c>
      <c r="AD15" s="199" t="s">
        <v>208</v>
      </c>
      <c r="AE15" s="199" t="s">
        <v>208</v>
      </c>
      <c r="AF15" s="199" t="s">
        <v>208</v>
      </c>
      <c r="AG15" s="203" t="s">
        <v>208</v>
      </c>
      <c r="AH15" s="199" t="s">
        <v>208</v>
      </c>
      <c r="AI15" s="199" t="s">
        <v>83</v>
      </c>
      <c r="AJ15" s="199" t="s">
        <v>208</v>
      </c>
      <c r="AK15" s="199" t="s">
        <v>208</v>
      </c>
      <c r="AL15" s="199" t="s">
        <v>208</v>
      </c>
      <c r="AM15" s="199" t="s">
        <v>210</v>
      </c>
      <c r="AN15" s="199" t="s">
        <v>210</v>
      </c>
      <c r="AO15" s="199" t="s">
        <v>210</v>
      </c>
      <c r="AP15" s="199" t="s">
        <v>210</v>
      </c>
      <c r="AQ15" s="199" t="s">
        <v>208</v>
      </c>
      <c r="AR15" s="199" t="s">
        <v>208</v>
      </c>
      <c r="AS15" s="199" t="s">
        <v>232</v>
      </c>
      <c r="AT15" s="199" t="s">
        <v>232</v>
      </c>
      <c r="AU15" s="199" t="s">
        <v>208</v>
      </c>
      <c r="AV15" s="199" t="s">
        <v>208</v>
      </c>
      <c r="AW15" s="199" t="s">
        <v>208</v>
      </c>
      <c r="AX15" s="199" t="s">
        <v>206</v>
      </c>
      <c r="AY15" s="199" t="s">
        <v>206</v>
      </c>
      <c r="AZ15" s="199" t="s">
        <v>206</v>
      </c>
      <c r="BA15" s="199" t="s">
        <v>206</v>
      </c>
      <c r="BB15" s="199" t="s">
        <v>206</v>
      </c>
      <c r="BC15" s="199" t="s">
        <v>206</v>
      </c>
      <c r="BD15" s="199" t="s">
        <v>206</v>
      </c>
      <c r="BE15" s="199" t="s">
        <v>206</v>
      </c>
      <c r="BF15" s="199" t="s">
        <v>206</v>
      </c>
      <c r="BG15" s="199" t="s">
        <v>206</v>
      </c>
      <c r="BH15" s="199" t="s">
        <v>206</v>
      </c>
      <c r="BI15" s="199" t="s">
        <v>206</v>
      </c>
      <c r="BJ15" s="199" t="s">
        <v>206</v>
      </c>
      <c r="BK15" s="199" t="s">
        <v>206</v>
      </c>
      <c r="BL15" s="203" t="s">
        <v>206</v>
      </c>
      <c r="BM15" s="199" t="s">
        <v>206</v>
      </c>
      <c r="BN15" s="199" t="s">
        <v>206</v>
      </c>
      <c r="BO15" s="199" t="s">
        <v>206</v>
      </c>
      <c r="BP15" s="199" t="s">
        <v>206</v>
      </c>
      <c r="BQ15" s="199" t="s">
        <v>206</v>
      </c>
      <c r="BR15" s="199" t="s">
        <v>83</v>
      </c>
      <c r="BS15" s="199" t="s">
        <v>207</v>
      </c>
      <c r="BT15" s="199" t="s">
        <v>207</v>
      </c>
      <c r="BU15" s="199" t="s">
        <v>207</v>
      </c>
      <c r="BV15" s="199" t="s">
        <v>207</v>
      </c>
      <c r="BW15" s="199" t="s">
        <v>208</v>
      </c>
      <c r="BX15" s="199" t="s">
        <v>208</v>
      </c>
      <c r="BY15" s="199" t="s">
        <v>208</v>
      </c>
      <c r="BZ15" s="199" t="s">
        <v>208</v>
      </c>
      <c r="CA15" s="199" t="s">
        <v>208</v>
      </c>
      <c r="CB15" s="199" t="s">
        <v>208</v>
      </c>
      <c r="CC15" s="199" t="s">
        <v>208</v>
      </c>
      <c r="CD15" s="199" t="s">
        <v>208</v>
      </c>
      <c r="CE15" s="199" t="s">
        <v>208</v>
      </c>
      <c r="CF15" s="199" t="s">
        <v>208</v>
      </c>
      <c r="CG15" s="199" t="s">
        <v>208</v>
      </c>
      <c r="CH15" s="199" t="s">
        <v>208</v>
      </c>
      <c r="CI15" s="199" t="s">
        <v>210</v>
      </c>
      <c r="CJ15" s="199" t="s">
        <v>210</v>
      </c>
      <c r="CK15" s="199" t="s">
        <v>210</v>
      </c>
      <c r="CL15" s="199" t="s">
        <v>210</v>
      </c>
      <c r="CM15" s="199" t="s">
        <v>208</v>
      </c>
      <c r="CN15" s="199" t="s">
        <v>208</v>
      </c>
      <c r="CO15" s="199" t="s">
        <v>208</v>
      </c>
      <c r="CP15" s="203" t="s">
        <v>208</v>
      </c>
      <c r="CQ15" s="199"/>
      <c r="CS15" s="198">
        <f t="shared" si="0"/>
        <v>31</v>
      </c>
      <c r="CT15" s="198">
        <f t="shared" si="1"/>
        <v>16</v>
      </c>
      <c r="CU15" s="198">
        <f t="shared" si="2"/>
        <v>23</v>
      </c>
    </row>
    <row r="16" spans="1:99" ht="15" customHeight="1" x14ac:dyDescent="0.25">
      <c r="A16" s="170">
        <v>8</v>
      </c>
      <c r="B16" s="170">
        <v>24256031</v>
      </c>
      <c r="C16" s="236" t="s">
        <v>168</v>
      </c>
      <c r="D16" s="199" t="s">
        <v>224</v>
      </c>
      <c r="E16" s="199" t="s">
        <v>224</v>
      </c>
      <c r="F16" s="199" t="s">
        <v>224</v>
      </c>
      <c r="G16" s="199" t="s">
        <v>224</v>
      </c>
      <c r="H16" s="199" t="s">
        <v>224</v>
      </c>
      <c r="I16" s="199" t="s">
        <v>224</v>
      </c>
      <c r="J16" s="199" t="s">
        <v>206</v>
      </c>
      <c r="K16" s="199" t="s">
        <v>206</v>
      </c>
      <c r="L16" s="199" t="s">
        <v>206</v>
      </c>
      <c r="M16" s="199" t="s">
        <v>206</v>
      </c>
      <c r="N16" s="199" t="s">
        <v>206</v>
      </c>
      <c r="O16" s="199" t="s">
        <v>206</v>
      </c>
      <c r="P16" s="199" t="s">
        <v>206</v>
      </c>
      <c r="Q16" s="199" t="s">
        <v>206</v>
      </c>
      <c r="R16" s="199" t="s">
        <v>206</v>
      </c>
      <c r="S16" s="199" t="s">
        <v>206</v>
      </c>
      <c r="T16" s="199" t="s">
        <v>206</v>
      </c>
      <c r="U16" s="199" t="s">
        <v>232</v>
      </c>
      <c r="V16" s="199" t="s">
        <v>232</v>
      </c>
      <c r="W16" s="199" t="s">
        <v>210</v>
      </c>
      <c r="X16" s="199" t="s">
        <v>210</v>
      </c>
      <c r="Y16" s="199" t="s">
        <v>210</v>
      </c>
      <c r="Z16" s="199" t="s">
        <v>210</v>
      </c>
      <c r="AA16" s="199" t="s">
        <v>232</v>
      </c>
      <c r="AB16" s="199" t="s">
        <v>234</v>
      </c>
      <c r="AC16" s="199" t="s">
        <v>83</v>
      </c>
      <c r="AD16" s="199" t="s">
        <v>83</v>
      </c>
      <c r="AE16" s="199" t="s">
        <v>207</v>
      </c>
      <c r="AF16" s="199" t="s">
        <v>207</v>
      </c>
      <c r="AG16" s="203" t="s">
        <v>208</v>
      </c>
      <c r="AH16" s="199" t="s">
        <v>208</v>
      </c>
      <c r="AI16" s="199" t="s">
        <v>83</v>
      </c>
      <c r="AJ16" s="199" t="s">
        <v>208</v>
      </c>
      <c r="AK16" s="199" t="s">
        <v>208</v>
      </c>
      <c r="AL16" s="199" t="s">
        <v>208</v>
      </c>
      <c r="AM16" s="199" t="s">
        <v>208</v>
      </c>
      <c r="AN16" s="199" t="s">
        <v>208</v>
      </c>
      <c r="AO16" s="199" t="s">
        <v>208</v>
      </c>
      <c r="AP16" s="199" t="s">
        <v>208</v>
      </c>
      <c r="AQ16" s="199" t="s">
        <v>208</v>
      </c>
      <c r="AR16" s="199" t="s">
        <v>208</v>
      </c>
      <c r="AS16" s="199" t="s">
        <v>208</v>
      </c>
      <c r="AT16" s="199" t="s">
        <v>208</v>
      </c>
      <c r="AU16" s="199" t="s">
        <v>208</v>
      </c>
      <c r="AV16" s="199" t="s">
        <v>208</v>
      </c>
      <c r="AW16" s="199" t="s">
        <v>208</v>
      </c>
      <c r="AX16" s="199" t="s">
        <v>208</v>
      </c>
      <c r="AY16" s="199" t="s">
        <v>208</v>
      </c>
      <c r="AZ16" s="199" t="s">
        <v>235</v>
      </c>
      <c r="BA16" s="199" t="s">
        <v>235</v>
      </c>
      <c r="BB16" s="199" t="s">
        <v>208</v>
      </c>
      <c r="BC16" s="199" t="s">
        <v>208</v>
      </c>
      <c r="BD16" s="199" t="s">
        <v>208</v>
      </c>
      <c r="BE16" s="199" t="s">
        <v>208</v>
      </c>
      <c r="BF16" s="199" t="s">
        <v>208</v>
      </c>
      <c r="BG16" s="199" t="s">
        <v>208</v>
      </c>
      <c r="BH16" s="199" t="s">
        <v>208</v>
      </c>
      <c r="BI16" s="199" t="s">
        <v>208</v>
      </c>
      <c r="BJ16" s="199" t="s">
        <v>208</v>
      </c>
      <c r="BK16" s="199" t="s">
        <v>208</v>
      </c>
      <c r="BL16" s="203" t="s">
        <v>208</v>
      </c>
      <c r="BM16" s="199" t="s">
        <v>208</v>
      </c>
      <c r="BN16" s="199" t="s">
        <v>208</v>
      </c>
      <c r="BO16" s="199" t="s">
        <v>208</v>
      </c>
      <c r="BP16" s="199" t="s">
        <v>208</v>
      </c>
      <c r="BQ16" s="199" t="s">
        <v>208</v>
      </c>
      <c r="BR16" s="199" t="s">
        <v>208</v>
      </c>
      <c r="BS16" s="199" t="s">
        <v>208</v>
      </c>
      <c r="BT16" s="199" t="s">
        <v>208</v>
      </c>
      <c r="BU16" s="199" t="s">
        <v>208</v>
      </c>
      <c r="BV16" s="199" t="s">
        <v>208</v>
      </c>
      <c r="BW16" s="199" t="s">
        <v>208</v>
      </c>
      <c r="BX16" s="199" t="s">
        <v>208</v>
      </c>
      <c r="BY16" s="199" t="s">
        <v>208</v>
      </c>
      <c r="BZ16" s="199" t="s">
        <v>206</v>
      </c>
      <c r="CA16" s="199" t="s">
        <v>206</v>
      </c>
      <c r="CB16" s="199" t="s">
        <v>206</v>
      </c>
      <c r="CC16" s="199" t="s">
        <v>206</v>
      </c>
      <c r="CD16" s="199" t="s">
        <v>206</v>
      </c>
      <c r="CE16" s="199" t="s">
        <v>206</v>
      </c>
      <c r="CF16" s="199" t="s">
        <v>206</v>
      </c>
      <c r="CG16" s="199" t="s">
        <v>206</v>
      </c>
      <c r="CH16" s="199" t="s">
        <v>206</v>
      </c>
      <c r="CI16" s="199" t="s">
        <v>206</v>
      </c>
      <c r="CJ16" s="199" t="s">
        <v>206</v>
      </c>
      <c r="CK16" s="199" t="s">
        <v>206</v>
      </c>
      <c r="CL16" s="199" t="s">
        <v>206</v>
      </c>
      <c r="CM16" s="199" t="s">
        <v>206</v>
      </c>
      <c r="CN16" s="199" t="s">
        <v>206</v>
      </c>
      <c r="CO16" s="199" t="s">
        <v>206</v>
      </c>
      <c r="CP16" s="203" t="s">
        <v>83</v>
      </c>
      <c r="CQ16" s="199"/>
      <c r="CS16" s="198">
        <f t="shared" si="0"/>
        <v>22</v>
      </c>
      <c r="CT16" s="198">
        <f t="shared" si="1"/>
        <v>24</v>
      </c>
      <c r="CU16" s="198">
        <f t="shared" si="2"/>
        <v>31</v>
      </c>
    </row>
    <row r="17" spans="1:99" s="204" customFormat="1" ht="20.100000000000001" customHeight="1" x14ac:dyDescent="0.25">
      <c r="A17" s="261" t="s">
        <v>156</v>
      </c>
      <c r="B17" s="261"/>
      <c r="C17" s="262"/>
      <c r="AG17" s="205"/>
      <c r="BL17" s="205"/>
      <c r="CP17" s="205"/>
      <c r="CR17" s="231"/>
    </row>
    <row r="18" spans="1:99" ht="15" customHeight="1" x14ac:dyDescent="0.25">
      <c r="A18" s="170">
        <v>9</v>
      </c>
      <c r="B18" s="170">
        <v>24250764</v>
      </c>
      <c r="C18" s="236" t="s">
        <v>166</v>
      </c>
      <c r="D18" s="199" t="s">
        <v>224</v>
      </c>
      <c r="E18" s="199" t="s">
        <v>224</v>
      </c>
      <c r="F18" s="199" t="s">
        <v>224</v>
      </c>
      <c r="G18" s="199" t="s">
        <v>224</v>
      </c>
      <c r="H18" s="199" t="s">
        <v>224</v>
      </c>
      <c r="I18" s="199" t="s">
        <v>224</v>
      </c>
      <c r="J18" s="199" t="s">
        <v>224</v>
      </c>
      <c r="K18" s="199" t="s">
        <v>224</v>
      </c>
      <c r="L18" s="199" t="s">
        <v>224</v>
      </c>
      <c r="M18" s="199" t="s">
        <v>224</v>
      </c>
      <c r="N18" s="199" t="s">
        <v>224</v>
      </c>
      <c r="O18" s="199" t="s">
        <v>224</v>
      </c>
      <c r="P18" s="199" t="s">
        <v>224</v>
      </c>
      <c r="Q18" s="199" t="s">
        <v>224</v>
      </c>
      <c r="R18" s="199" t="s">
        <v>224</v>
      </c>
      <c r="S18" s="199" t="s">
        <v>224</v>
      </c>
      <c r="T18" s="199" t="s">
        <v>224</v>
      </c>
      <c r="U18" s="199" t="s">
        <v>224</v>
      </c>
      <c r="V18" s="199" t="s">
        <v>224</v>
      </c>
      <c r="W18" s="199" t="s">
        <v>224</v>
      </c>
      <c r="X18" s="199" t="s">
        <v>224</v>
      </c>
      <c r="Y18" s="199" t="s">
        <v>224</v>
      </c>
      <c r="Z18" s="199" t="s">
        <v>224</v>
      </c>
      <c r="AA18" s="199" t="s">
        <v>224</v>
      </c>
      <c r="AB18" s="199" t="s">
        <v>224</v>
      </c>
      <c r="AC18" s="199" t="s">
        <v>224</v>
      </c>
      <c r="AD18" s="199" t="s">
        <v>224</v>
      </c>
      <c r="AE18" s="199" t="s">
        <v>224</v>
      </c>
      <c r="AF18" s="199" t="s">
        <v>224</v>
      </c>
      <c r="AG18" s="203" t="s">
        <v>224</v>
      </c>
      <c r="AH18" s="199" t="s">
        <v>224</v>
      </c>
      <c r="AI18" s="199" t="s">
        <v>224</v>
      </c>
      <c r="AJ18" s="199" t="s">
        <v>224</v>
      </c>
      <c r="AK18" s="199" t="s">
        <v>224</v>
      </c>
      <c r="AL18" s="199" t="s">
        <v>224</v>
      </c>
      <c r="AM18" s="199" t="s">
        <v>224</v>
      </c>
      <c r="AN18" s="199" t="s">
        <v>224</v>
      </c>
      <c r="AO18" s="199" t="s">
        <v>224</v>
      </c>
      <c r="AP18" s="199" t="s">
        <v>224</v>
      </c>
      <c r="AQ18" s="199" t="s">
        <v>224</v>
      </c>
      <c r="AR18" s="199" t="s">
        <v>224</v>
      </c>
      <c r="AS18" s="199" t="s">
        <v>224</v>
      </c>
      <c r="AT18" s="199" t="s">
        <v>224</v>
      </c>
      <c r="AU18" s="199" t="s">
        <v>207</v>
      </c>
      <c r="AV18" s="199" t="s">
        <v>207</v>
      </c>
      <c r="AW18" s="199" t="s">
        <v>207</v>
      </c>
      <c r="AX18" s="199" t="s">
        <v>207</v>
      </c>
      <c r="AY18" s="199" t="s">
        <v>207</v>
      </c>
      <c r="AZ18" s="199" t="s">
        <v>207</v>
      </c>
      <c r="BA18" s="199" t="s">
        <v>207</v>
      </c>
      <c r="BB18" s="199" t="s">
        <v>207</v>
      </c>
      <c r="BC18" s="199" t="s">
        <v>207</v>
      </c>
      <c r="BD18" s="199" t="s">
        <v>207</v>
      </c>
      <c r="BE18" s="199" t="s">
        <v>207</v>
      </c>
      <c r="BF18" s="199" t="s">
        <v>207</v>
      </c>
      <c r="BG18" s="199" t="s">
        <v>207</v>
      </c>
      <c r="BH18" s="199" t="s">
        <v>207</v>
      </c>
      <c r="BI18" s="199" t="s">
        <v>207</v>
      </c>
      <c r="BJ18" s="199" t="s">
        <v>207</v>
      </c>
      <c r="BK18" s="199" t="s">
        <v>207</v>
      </c>
      <c r="BL18" s="203" t="s">
        <v>207</v>
      </c>
      <c r="BM18" s="199" t="s">
        <v>207</v>
      </c>
      <c r="BN18" s="199" t="s">
        <v>207</v>
      </c>
      <c r="BO18" s="199" t="s">
        <v>207</v>
      </c>
      <c r="BP18" s="199" t="s">
        <v>207</v>
      </c>
      <c r="BQ18" s="199" t="s">
        <v>207</v>
      </c>
      <c r="BR18" s="199" t="s">
        <v>207</v>
      </c>
      <c r="BS18" s="199" t="s">
        <v>207</v>
      </c>
      <c r="BT18" s="199" t="s">
        <v>207</v>
      </c>
      <c r="BU18" s="199" t="s">
        <v>207</v>
      </c>
      <c r="BV18" s="199" t="s">
        <v>207</v>
      </c>
      <c r="BW18" s="199" t="s">
        <v>207</v>
      </c>
      <c r="BX18" s="199" t="s">
        <v>207</v>
      </c>
      <c r="BY18" s="199" t="s">
        <v>207</v>
      </c>
      <c r="BZ18" s="199" t="s">
        <v>207</v>
      </c>
      <c r="CA18" s="199" t="s">
        <v>207</v>
      </c>
      <c r="CB18" s="199" t="s">
        <v>207</v>
      </c>
      <c r="CC18" s="199" t="s">
        <v>207</v>
      </c>
      <c r="CD18" s="199" t="s">
        <v>207</v>
      </c>
      <c r="CE18" s="199" t="s">
        <v>207</v>
      </c>
      <c r="CF18" s="199" t="s">
        <v>207</v>
      </c>
      <c r="CG18" s="199" t="s">
        <v>207</v>
      </c>
      <c r="CH18" s="199" t="s">
        <v>207</v>
      </c>
      <c r="CI18" s="199" t="s">
        <v>207</v>
      </c>
      <c r="CJ18" s="199" t="s">
        <v>207</v>
      </c>
      <c r="CK18" s="199" t="s">
        <v>207</v>
      </c>
      <c r="CL18" s="199" t="s">
        <v>207</v>
      </c>
      <c r="CM18" s="199" t="s">
        <v>207</v>
      </c>
      <c r="CN18" s="199" t="s">
        <v>207</v>
      </c>
      <c r="CO18" s="199" t="s">
        <v>207</v>
      </c>
      <c r="CP18" s="203" t="s">
        <v>207</v>
      </c>
      <c r="CQ18" s="199"/>
      <c r="CS18" s="198">
        <f t="shared" ref="CS18:CS39" si="3">COUNTIFS($D18:$CQ18,"",$D$5:$CQ$5,"&lt;&gt;"&amp;"A*",$D$3:$CQ$3,"&lt;&gt;")+COUNTIFS($D18:$CQ18,"X",$D$5:$CQ$5,"&lt;&gt;"&amp;"A*",$D$3:$CQ$3,"&lt;&gt;")+COUNTIFS($D18:$CQ18,"O",$D$5:$CQ$5,"&lt;&gt;"&amp;"A*",$D$3:$CQ$3,"&lt;&gt;")-COUNTIFS($D18:$CQ18,"X",$D$5:$CQ$5,"=GF",$D$3:$CQ$3,"&lt;&gt;")-COUNTIFS($D18:$CQ18,"O",$D$5:$CQ$5,"=GF",$D$3:$CQ$3,"&lt;&gt;")+COUNTIFS($D18:$CQ18,"E",$D$5:$CQ$5,"&lt;&gt;"&amp;"A*",$D$3:$CQ$3,"&lt;&gt;")+COUNTIFS($D18:$CQ18,"V",$D$5:$CQ$5,"&lt;&gt;"&amp;"A*",$D$3:$CQ$3,"&lt;&gt;")+COUNTIFS($D18:$CQ18,"FB",$D$5:$CQ$5,"&lt;&gt;"&amp;"A*",$D$3:$CQ$3,"&lt;&gt;")+COUNTIFS($D18:$CQ18,"T",$D$5:$CQ$5,"&lt;&gt;"&amp;"A*",$D$3:$CQ$3,"&lt;&gt;")+COUNTIFS($D18:$CQ18,"T-DA",$D$5:$CQ$5,"&lt;&gt;"&amp;"A*",$D$3:$CQ$3,"&lt;&gt;")</f>
        <v>0</v>
      </c>
      <c r="CT18" s="198">
        <f t="shared" ref="CT18:CT39" si="4">COUNTIFS($D18:$CQ18,"U",$D$5:$CQ$5,"&lt;&gt;"&amp;"A*",$D$3:$CQ$3,"&lt;&gt;")+COUNTIFS($D18:$CQ18,"SU",$D$5:$CQ$5,"&lt;&gt;"&amp;"A*",$D$3:$CQ$3,"&lt;&gt;")+COUNTIFS($D18:$CQ18,"ZU",$D$5:$CQ$5,"&lt;&gt;"&amp;"A*",$D$3:$CQ$3,"&lt;&gt;")+COUNTIFS($D18:$CQ18,"AZV",$D$5:$CQ$5,"&lt;&gt;"&amp;"A*",$D$3:$CQ$3,"&lt;&gt;")</f>
        <v>0</v>
      </c>
      <c r="CU18" s="198">
        <f t="shared" ref="CU18:CU39" si="5">COUNTIFS($D18:$CQ18,"U",$D$3:$CQ$3,"&lt;&gt;")+COUNTIFS($D18:$CQ18,"SU",$D$3:$CQ$3,"&lt;&gt;")+COUNTIFS($D18:$CQ18,"ZU",$D$3:$CQ$3,"&lt;&gt;")+COUNTIFS($D18:$CQ18,"AZV",$D$3:$CQ$3,"&lt;&gt;")</f>
        <v>0</v>
      </c>
    </row>
    <row r="19" spans="1:99" ht="15" customHeight="1" x14ac:dyDescent="0.25">
      <c r="A19" s="170">
        <v>10</v>
      </c>
      <c r="B19" s="170">
        <v>24250740</v>
      </c>
      <c r="C19" s="236" t="s">
        <v>167</v>
      </c>
      <c r="D19" s="199" t="s">
        <v>208</v>
      </c>
      <c r="E19" s="199" t="s">
        <v>224</v>
      </c>
      <c r="F19" s="199" t="s">
        <v>224</v>
      </c>
      <c r="G19" s="199" t="s">
        <v>224</v>
      </c>
      <c r="H19" s="199" t="s">
        <v>224</v>
      </c>
      <c r="I19" s="199" t="s">
        <v>224</v>
      </c>
      <c r="J19" s="199" t="s">
        <v>224</v>
      </c>
      <c r="K19" s="199" t="s">
        <v>224</v>
      </c>
      <c r="L19" s="199" t="s">
        <v>224</v>
      </c>
      <c r="M19" s="199" t="s">
        <v>224</v>
      </c>
      <c r="N19" s="199" t="s">
        <v>224</v>
      </c>
      <c r="O19" s="199" t="s">
        <v>224</v>
      </c>
      <c r="P19" s="199" t="s">
        <v>224</v>
      </c>
      <c r="Q19" s="199" t="s">
        <v>224</v>
      </c>
      <c r="R19" s="199" t="s">
        <v>207</v>
      </c>
      <c r="S19" s="199" t="s">
        <v>232</v>
      </c>
      <c r="T19" s="199" t="s">
        <v>206</v>
      </c>
      <c r="U19" s="199" t="s">
        <v>206</v>
      </c>
      <c r="V19" s="199" t="s">
        <v>206</v>
      </c>
      <c r="W19" s="199" t="s">
        <v>206</v>
      </c>
      <c r="X19" s="199" t="s">
        <v>206</v>
      </c>
      <c r="Y19" s="199" t="s">
        <v>206</v>
      </c>
      <c r="Z19" s="199" t="s">
        <v>206</v>
      </c>
      <c r="AA19" s="199" t="s">
        <v>206</v>
      </c>
      <c r="AB19" s="199" t="s">
        <v>206</v>
      </c>
      <c r="AC19" s="199" t="s">
        <v>206</v>
      </c>
      <c r="AD19" s="199" t="s">
        <v>83</v>
      </c>
      <c r="AE19" s="199" t="s">
        <v>207</v>
      </c>
      <c r="AF19" s="199" t="s">
        <v>207</v>
      </c>
      <c r="AG19" s="203" t="s">
        <v>208</v>
      </c>
      <c r="AH19" s="199" t="s">
        <v>208</v>
      </c>
      <c r="AI19" s="199" t="s">
        <v>83</v>
      </c>
      <c r="AJ19" s="199" t="s">
        <v>208</v>
      </c>
      <c r="AK19" s="199" t="s">
        <v>208</v>
      </c>
      <c r="AL19" s="199" t="s">
        <v>208</v>
      </c>
      <c r="AM19" s="199" t="s">
        <v>208</v>
      </c>
      <c r="AN19" s="199" t="s">
        <v>208</v>
      </c>
      <c r="AO19" s="199" t="s">
        <v>208</v>
      </c>
      <c r="AP19" s="199" t="s">
        <v>208</v>
      </c>
      <c r="AQ19" s="199" t="s">
        <v>208</v>
      </c>
      <c r="AR19" s="199" t="s">
        <v>208</v>
      </c>
      <c r="AS19" s="199" t="s">
        <v>208</v>
      </c>
      <c r="AT19" s="199" t="s">
        <v>208</v>
      </c>
      <c r="AU19" s="199" t="s">
        <v>208</v>
      </c>
      <c r="AV19" s="199" t="s">
        <v>208</v>
      </c>
      <c r="AW19" s="199" t="s">
        <v>208</v>
      </c>
      <c r="AX19" s="199" t="s">
        <v>208</v>
      </c>
      <c r="AY19" s="199" t="s">
        <v>208</v>
      </c>
      <c r="AZ19" s="199" t="s">
        <v>233</v>
      </c>
      <c r="BA19" s="199" t="s">
        <v>208</v>
      </c>
      <c r="BB19" s="199" t="s">
        <v>208</v>
      </c>
      <c r="BC19" s="199" t="s">
        <v>208</v>
      </c>
      <c r="BD19" s="199" t="s">
        <v>208</v>
      </c>
      <c r="BE19" s="199" t="s">
        <v>208</v>
      </c>
      <c r="BF19" s="199" t="s">
        <v>208</v>
      </c>
      <c r="BG19" s="199" t="s">
        <v>224</v>
      </c>
      <c r="BH19" s="199" t="s">
        <v>208</v>
      </c>
      <c r="BI19" s="199" t="s">
        <v>208</v>
      </c>
      <c r="BJ19" s="199" t="s">
        <v>208</v>
      </c>
      <c r="BK19" s="199" t="s">
        <v>208</v>
      </c>
      <c r="BL19" s="203" t="s">
        <v>208</v>
      </c>
      <c r="BM19" s="199" t="s">
        <v>208</v>
      </c>
      <c r="BN19" s="199" t="s">
        <v>208</v>
      </c>
      <c r="BO19" s="199" t="s">
        <v>83</v>
      </c>
      <c r="BP19" s="199" t="s">
        <v>208</v>
      </c>
      <c r="BQ19" s="199" t="s">
        <v>208</v>
      </c>
      <c r="BR19" s="199" t="s">
        <v>208</v>
      </c>
      <c r="BS19" s="199" t="s">
        <v>208</v>
      </c>
      <c r="BT19" s="199" t="s">
        <v>208</v>
      </c>
      <c r="BU19" s="199" t="s">
        <v>208</v>
      </c>
      <c r="BV19" s="199" t="s">
        <v>208</v>
      </c>
      <c r="BW19" s="199" t="s">
        <v>208</v>
      </c>
      <c r="BX19" s="199" t="s">
        <v>208</v>
      </c>
      <c r="BY19" s="199" t="s">
        <v>208</v>
      </c>
      <c r="BZ19" s="199" t="s">
        <v>208</v>
      </c>
      <c r="CA19" s="199" t="s">
        <v>208</v>
      </c>
      <c r="CB19" s="199" t="s">
        <v>208</v>
      </c>
      <c r="CC19" s="199" t="s">
        <v>30</v>
      </c>
      <c r="CD19" s="199" t="s">
        <v>208</v>
      </c>
      <c r="CE19" s="199" t="s">
        <v>208</v>
      </c>
      <c r="CF19" s="199" t="s">
        <v>208</v>
      </c>
      <c r="CG19" s="199" t="s">
        <v>208</v>
      </c>
      <c r="CH19" s="199" t="s">
        <v>208</v>
      </c>
      <c r="CI19" s="199" t="s">
        <v>208</v>
      </c>
      <c r="CJ19" s="199" t="s">
        <v>208</v>
      </c>
      <c r="CK19" s="199" t="s">
        <v>208</v>
      </c>
      <c r="CL19" s="199" t="s">
        <v>208</v>
      </c>
      <c r="CM19" s="199" t="s">
        <v>208</v>
      </c>
      <c r="CN19" s="199" t="s">
        <v>208</v>
      </c>
      <c r="CO19" s="199" t="s">
        <v>208</v>
      </c>
      <c r="CP19" s="203" t="s">
        <v>208</v>
      </c>
      <c r="CQ19" s="199"/>
      <c r="CS19" s="198">
        <f t="shared" si="3"/>
        <v>31</v>
      </c>
      <c r="CT19" s="198">
        <f t="shared" si="4"/>
        <v>7</v>
      </c>
      <c r="CU19" s="198">
        <f t="shared" si="5"/>
        <v>11</v>
      </c>
    </row>
    <row r="20" spans="1:99" ht="15" customHeight="1" x14ac:dyDescent="0.25">
      <c r="A20" s="170">
        <v>11</v>
      </c>
      <c r="B20" s="170">
        <v>24268113</v>
      </c>
      <c r="C20" s="236" t="s">
        <v>169</v>
      </c>
      <c r="D20" s="199" t="s">
        <v>206</v>
      </c>
      <c r="E20" s="199" t="s">
        <v>206</v>
      </c>
      <c r="F20" s="199" t="s">
        <v>206</v>
      </c>
      <c r="G20" s="199" t="s">
        <v>207</v>
      </c>
      <c r="H20" s="199" t="s">
        <v>207</v>
      </c>
      <c r="I20" s="199" t="s">
        <v>207</v>
      </c>
      <c r="J20" s="199" t="s">
        <v>83</v>
      </c>
      <c r="K20" s="199" t="s">
        <v>208</v>
      </c>
      <c r="L20" s="199" t="s">
        <v>232</v>
      </c>
      <c r="M20" s="199" t="s">
        <v>208</v>
      </c>
      <c r="N20" s="199" t="s">
        <v>208</v>
      </c>
      <c r="O20" s="199" t="s">
        <v>208</v>
      </c>
      <c r="P20" s="199" t="s">
        <v>208</v>
      </c>
      <c r="Q20" s="199" t="s">
        <v>208</v>
      </c>
      <c r="R20" s="199" t="s">
        <v>208</v>
      </c>
      <c r="S20" s="199" t="s">
        <v>208</v>
      </c>
      <c r="T20" s="199" t="s">
        <v>208</v>
      </c>
      <c r="U20" s="199" t="s">
        <v>208</v>
      </c>
      <c r="V20" s="199" t="s">
        <v>208</v>
      </c>
      <c r="W20" s="199" t="s">
        <v>208</v>
      </c>
      <c r="X20" s="199" t="s">
        <v>210</v>
      </c>
      <c r="Y20" s="199" t="s">
        <v>208</v>
      </c>
      <c r="Z20" s="199" t="s">
        <v>209</v>
      </c>
      <c r="AA20" s="199" t="s">
        <v>209</v>
      </c>
      <c r="AB20" s="199" t="s">
        <v>209</v>
      </c>
      <c r="AC20" s="199" t="s">
        <v>224</v>
      </c>
      <c r="AD20" s="199" t="s">
        <v>208</v>
      </c>
      <c r="AE20" s="199" t="s">
        <v>208</v>
      </c>
      <c r="AF20" s="199" t="s">
        <v>208</v>
      </c>
      <c r="AG20" s="203" t="s">
        <v>208</v>
      </c>
      <c r="AH20" s="199" t="s">
        <v>208</v>
      </c>
      <c r="AI20" s="199" t="s">
        <v>83</v>
      </c>
      <c r="AJ20" s="199" t="s">
        <v>208</v>
      </c>
      <c r="AK20" s="199" t="s">
        <v>208</v>
      </c>
      <c r="AL20" s="199" t="s">
        <v>208</v>
      </c>
      <c r="AM20" s="199" t="s">
        <v>208</v>
      </c>
      <c r="AN20" s="199" t="s">
        <v>208</v>
      </c>
      <c r="AO20" s="199" t="s">
        <v>208</v>
      </c>
      <c r="AP20" s="199" t="s">
        <v>208</v>
      </c>
      <c r="AQ20" s="199" t="s">
        <v>208</v>
      </c>
      <c r="AR20" s="199" t="s">
        <v>208</v>
      </c>
      <c r="AS20" s="199" t="s">
        <v>208</v>
      </c>
      <c r="AT20" s="199" t="s">
        <v>208</v>
      </c>
      <c r="AU20" s="199" t="s">
        <v>208</v>
      </c>
      <c r="AV20" s="199" t="s">
        <v>208</v>
      </c>
      <c r="AW20" s="199" t="s">
        <v>210</v>
      </c>
      <c r="AX20" s="199" t="s">
        <v>208</v>
      </c>
      <c r="AY20" s="199" t="s">
        <v>208</v>
      </c>
      <c r="AZ20" s="199" t="s">
        <v>236</v>
      </c>
      <c r="BA20" s="199" t="s">
        <v>208</v>
      </c>
      <c r="BB20" s="199" t="s">
        <v>208</v>
      </c>
      <c r="BC20" s="199" t="s">
        <v>208</v>
      </c>
      <c r="BD20" s="199" t="s">
        <v>210</v>
      </c>
      <c r="BE20" s="199" t="s">
        <v>208</v>
      </c>
      <c r="BF20" s="199" t="s">
        <v>208</v>
      </c>
      <c r="BG20" s="199" t="s">
        <v>208</v>
      </c>
      <c r="BH20" s="199" t="s">
        <v>208</v>
      </c>
      <c r="BI20" s="199" t="s">
        <v>208</v>
      </c>
      <c r="BJ20" s="199" t="s">
        <v>208</v>
      </c>
      <c r="BK20" s="199" t="s">
        <v>208</v>
      </c>
      <c r="BL20" s="203" t="s">
        <v>208</v>
      </c>
      <c r="BM20" s="199" t="s">
        <v>210</v>
      </c>
      <c r="BN20" s="199" t="s">
        <v>208</v>
      </c>
      <c r="BO20" s="199" t="s">
        <v>208</v>
      </c>
      <c r="BP20" s="199" t="s">
        <v>208</v>
      </c>
      <c r="BQ20" s="199" t="s">
        <v>208</v>
      </c>
      <c r="BR20" s="199" t="s">
        <v>208</v>
      </c>
      <c r="BS20" s="199" t="s">
        <v>210</v>
      </c>
      <c r="BT20" s="199" t="s">
        <v>208</v>
      </c>
      <c r="BU20" s="199" t="s">
        <v>208</v>
      </c>
      <c r="BV20" s="199" t="s">
        <v>208</v>
      </c>
      <c r="BW20" s="199" t="s">
        <v>208</v>
      </c>
      <c r="BX20" s="199" t="s">
        <v>208</v>
      </c>
      <c r="BY20" s="199" t="s">
        <v>208</v>
      </c>
      <c r="BZ20" s="199" t="s">
        <v>206</v>
      </c>
      <c r="CA20" s="199" t="s">
        <v>210</v>
      </c>
      <c r="CB20" s="199" t="s">
        <v>206</v>
      </c>
      <c r="CC20" s="199" t="s">
        <v>206</v>
      </c>
      <c r="CD20" s="199" t="s">
        <v>206</v>
      </c>
      <c r="CE20" s="199" t="s">
        <v>206</v>
      </c>
      <c r="CF20" s="199" t="s">
        <v>206</v>
      </c>
      <c r="CG20" s="199" t="s">
        <v>206</v>
      </c>
      <c r="CH20" s="199" t="s">
        <v>206</v>
      </c>
      <c r="CI20" s="199" t="s">
        <v>206</v>
      </c>
      <c r="CJ20" s="199" t="s">
        <v>206</v>
      </c>
      <c r="CK20" s="199" t="s">
        <v>210</v>
      </c>
      <c r="CL20" s="199" t="s">
        <v>206</v>
      </c>
      <c r="CM20" s="199" t="s">
        <v>206</v>
      </c>
      <c r="CN20" s="199" t="s">
        <v>206</v>
      </c>
      <c r="CO20" s="199" t="s">
        <v>206</v>
      </c>
      <c r="CP20" s="203" t="s">
        <v>206</v>
      </c>
      <c r="CQ20" s="199"/>
      <c r="CS20" s="198">
        <f t="shared" si="3"/>
        <v>31</v>
      </c>
      <c r="CT20" s="198">
        <f t="shared" si="4"/>
        <v>15</v>
      </c>
      <c r="CU20" s="198">
        <f t="shared" si="5"/>
        <v>19</v>
      </c>
    </row>
    <row r="21" spans="1:99" ht="15" customHeight="1" x14ac:dyDescent="0.25">
      <c r="A21" s="170">
        <v>12</v>
      </c>
      <c r="B21" s="170">
        <v>24261901</v>
      </c>
      <c r="C21" s="236" t="s">
        <v>170</v>
      </c>
      <c r="D21" s="199" t="s">
        <v>224</v>
      </c>
      <c r="E21" s="199" t="s">
        <v>224</v>
      </c>
      <c r="F21" s="199" t="s">
        <v>224</v>
      </c>
      <c r="G21" s="199" t="s">
        <v>208</v>
      </c>
      <c r="H21" s="199" t="s">
        <v>208</v>
      </c>
      <c r="I21" s="199" t="s">
        <v>208</v>
      </c>
      <c r="J21" s="199" t="s">
        <v>83</v>
      </c>
      <c r="K21" s="199" t="s">
        <v>208</v>
      </c>
      <c r="L21" s="199" t="s">
        <v>208</v>
      </c>
      <c r="M21" s="199" t="s">
        <v>208</v>
      </c>
      <c r="N21" s="199" t="s">
        <v>208</v>
      </c>
      <c r="O21" s="199" t="s">
        <v>208</v>
      </c>
      <c r="P21" s="199" t="s">
        <v>208</v>
      </c>
      <c r="Q21" s="199" t="s">
        <v>208</v>
      </c>
      <c r="R21" s="199" t="s">
        <v>208</v>
      </c>
      <c r="S21" s="199" t="s">
        <v>208</v>
      </c>
      <c r="T21" s="199" t="s">
        <v>208</v>
      </c>
      <c r="U21" s="199" t="s">
        <v>208</v>
      </c>
      <c r="V21" s="199" t="s">
        <v>208</v>
      </c>
      <c r="W21" s="199" t="s">
        <v>208</v>
      </c>
      <c r="X21" s="199" t="s">
        <v>208</v>
      </c>
      <c r="Y21" s="199" t="s">
        <v>208</v>
      </c>
      <c r="Z21" s="199" t="s">
        <v>208</v>
      </c>
      <c r="AA21" s="199" t="s">
        <v>232</v>
      </c>
      <c r="AB21" s="199" t="s">
        <v>208</v>
      </c>
      <c r="AC21" s="199" t="s">
        <v>208</v>
      </c>
      <c r="AD21" s="199" t="s">
        <v>208</v>
      </c>
      <c r="AE21" s="199" t="s">
        <v>208</v>
      </c>
      <c r="AF21" s="199" t="s">
        <v>208</v>
      </c>
      <c r="AG21" s="203" t="s">
        <v>208</v>
      </c>
      <c r="AH21" s="199" t="s">
        <v>208</v>
      </c>
      <c r="AI21" s="199" t="s">
        <v>83</v>
      </c>
      <c r="AJ21" s="199" t="s">
        <v>208</v>
      </c>
      <c r="AK21" s="199" t="s">
        <v>208</v>
      </c>
      <c r="AL21" s="199" t="s">
        <v>208</v>
      </c>
      <c r="AM21" s="199" t="s">
        <v>208</v>
      </c>
      <c r="AN21" s="199" t="s">
        <v>209</v>
      </c>
      <c r="AO21" s="199" t="s">
        <v>209</v>
      </c>
      <c r="AP21" s="199" t="s">
        <v>209</v>
      </c>
      <c r="AQ21" s="199" t="s">
        <v>208</v>
      </c>
      <c r="AR21" s="199" t="s">
        <v>208</v>
      </c>
      <c r="AS21" s="199" t="s">
        <v>208</v>
      </c>
      <c r="AT21" s="199" t="s">
        <v>232</v>
      </c>
      <c r="AU21" s="199" t="s">
        <v>208</v>
      </c>
      <c r="AV21" s="199" t="s">
        <v>208</v>
      </c>
      <c r="AW21" s="199" t="s">
        <v>208</v>
      </c>
      <c r="AX21" s="199" t="s">
        <v>208</v>
      </c>
      <c r="AY21" s="199" t="s">
        <v>208</v>
      </c>
      <c r="AZ21" s="199" t="s">
        <v>208</v>
      </c>
      <c r="BA21" s="199" t="s">
        <v>208</v>
      </c>
      <c r="BB21" s="199" t="s">
        <v>232</v>
      </c>
      <c r="BC21" s="199" t="s">
        <v>208</v>
      </c>
      <c r="BD21" s="199" t="s">
        <v>208</v>
      </c>
      <c r="BE21" s="199" t="s">
        <v>208</v>
      </c>
      <c r="BF21" s="199" t="s">
        <v>208</v>
      </c>
      <c r="BG21" s="199" t="s">
        <v>208</v>
      </c>
      <c r="BH21" s="199" t="s">
        <v>208</v>
      </c>
      <c r="BI21" s="199" t="s">
        <v>208</v>
      </c>
      <c r="BJ21" s="199" t="s">
        <v>208</v>
      </c>
      <c r="BK21" s="199" t="s">
        <v>208</v>
      </c>
      <c r="BL21" s="203" t="s">
        <v>208</v>
      </c>
      <c r="BM21" s="199" t="s">
        <v>208</v>
      </c>
      <c r="BN21" s="199" t="s">
        <v>206</v>
      </c>
      <c r="BO21" s="199" t="s">
        <v>206</v>
      </c>
      <c r="BP21" s="199" t="s">
        <v>206</v>
      </c>
      <c r="BQ21" s="199" t="s">
        <v>206</v>
      </c>
      <c r="BR21" s="199" t="s">
        <v>206</v>
      </c>
      <c r="BS21" s="199" t="s">
        <v>206</v>
      </c>
      <c r="BT21" s="199" t="s">
        <v>206</v>
      </c>
      <c r="BU21" s="199" t="s">
        <v>206</v>
      </c>
      <c r="BV21" s="199" t="s">
        <v>206</v>
      </c>
      <c r="BW21" s="199" t="s">
        <v>206</v>
      </c>
      <c r="BX21" s="199" t="s">
        <v>206</v>
      </c>
      <c r="BY21" s="199" t="s">
        <v>206</v>
      </c>
      <c r="BZ21" s="199" t="s">
        <v>206</v>
      </c>
      <c r="CA21" s="199" t="s">
        <v>206</v>
      </c>
      <c r="CB21" s="199" t="s">
        <v>206</v>
      </c>
      <c r="CC21" s="199" t="s">
        <v>206</v>
      </c>
      <c r="CD21" s="199" t="s">
        <v>206</v>
      </c>
      <c r="CE21" s="199" t="s">
        <v>206</v>
      </c>
      <c r="CF21" s="199" t="s">
        <v>206</v>
      </c>
      <c r="CG21" s="199" t="s">
        <v>206</v>
      </c>
      <c r="CH21" s="199" t="s">
        <v>206</v>
      </c>
      <c r="CI21" s="199" t="s">
        <v>206</v>
      </c>
      <c r="CJ21" s="199" t="s">
        <v>206</v>
      </c>
      <c r="CK21" s="199" t="s">
        <v>206</v>
      </c>
      <c r="CL21" s="199" t="s">
        <v>206</v>
      </c>
      <c r="CM21" s="199" t="s">
        <v>206</v>
      </c>
      <c r="CN21" s="199" t="s">
        <v>206</v>
      </c>
      <c r="CO21" s="199" t="s">
        <v>206</v>
      </c>
      <c r="CP21" s="203" t="s">
        <v>83</v>
      </c>
      <c r="CQ21" s="199"/>
      <c r="CS21" s="198">
        <f t="shared" si="3"/>
        <v>25</v>
      </c>
      <c r="CT21" s="198">
        <f t="shared" si="4"/>
        <v>21</v>
      </c>
      <c r="CU21" s="198">
        <f t="shared" si="5"/>
        <v>31</v>
      </c>
    </row>
    <row r="22" spans="1:99" ht="15" customHeight="1" x14ac:dyDescent="0.25">
      <c r="A22" s="170">
        <v>13</v>
      </c>
      <c r="B22" s="170">
        <v>24268001</v>
      </c>
      <c r="C22" s="236" t="s">
        <v>171</v>
      </c>
      <c r="D22" s="199" t="s">
        <v>208</v>
      </c>
      <c r="E22" s="199" t="s">
        <v>208</v>
      </c>
      <c r="F22" s="199" t="s">
        <v>208</v>
      </c>
      <c r="G22" s="199" t="s">
        <v>208</v>
      </c>
      <c r="H22" s="199" t="s">
        <v>208</v>
      </c>
      <c r="I22" s="199" t="s">
        <v>208</v>
      </c>
      <c r="J22" s="199" t="s">
        <v>83</v>
      </c>
      <c r="K22" s="199" t="s">
        <v>208</v>
      </c>
      <c r="L22" s="199" t="s">
        <v>208</v>
      </c>
      <c r="M22" s="199" t="s">
        <v>208</v>
      </c>
      <c r="N22" s="199" t="s">
        <v>208</v>
      </c>
      <c r="O22" s="199" t="s">
        <v>208</v>
      </c>
      <c r="P22" s="199" t="s">
        <v>210</v>
      </c>
      <c r="Q22" s="199" t="s">
        <v>210</v>
      </c>
      <c r="R22" s="199" t="s">
        <v>208</v>
      </c>
      <c r="S22" s="199" t="s">
        <v>208</v>
      </c>
      <c r="T22" s="199" t="s">
        <v>208</v>
      </c>
      <c r="U22" s="199" t="s">
        <v>208</v>
      </c>
      <c r="V22" s="199" t="s">
        <v>208</v>
      </c>
      <c r="W22" s="199" t="s">
        <v>208</v>
      </c>
      <c r="X22" s="199" t="s">
        <v>208</v>
      </c>
      <c r="Y22" s="199" t="s">
        <v>208</v>
      </c>
      <c r="Z22" s="199" t="s">
        <v>208</v>
      </c>
      <c r="AA22" s="199" t="s">
        <v>208</v>
      </c>
      <c r="AB22" s="199" t="s">
        <v>208</v>
      </c>
      <c r="AC22" s="199" t="s">
        <v>208</v>
      </c>
      <c r="AD22" s="199" t="s">
        <v>208</v>
      </c>
      <c r="AE22" s="199" t="s">
        <v>208</v>
      </c>
      <c r="AF22" s="199" t="s">
        <v>208</v>
      </c>
      <c r="AG22" s="203" t="s">
        <v>208</v>
      </c>
      <c r="AH22" s="199" t="s">
        <v>208</v>
      </c>
      <c r="AI22" s="199" t="s">
        <v>83</v>
      </c>
      <c r="AJ22" s="199" t="s">
        <v>208</v>
      </c>
      <c r="AK22" s="199" t="s">
        <v>208</v>
      </c>
      <c r="AL22" s="199" t="s">
        <v>208</v>
      </c>
      <c r="AM22" s="199" t="s">
        <v>208</v>
      </c>
      <c r="AN22" s="199" t="s">
        <v>208</v>
      </c>
      <c r="AO22" s="199" t="s">
        <v>208</v>
      </c>
      <c r="AP22" s="199" t="s">
        <v>208</v>
      </c>
      <c r="AQ22" s="199" t="s">
        <v>232</v>
      </c>
      <c r="AR22" s="199" t="s">
        <v>232</v>
      </c>
      <c r="AS22" s="199" t="s">
        <v>232</v>
      </c>
      <c r="AT22" s="199" t="s">
        <v>232</v>
      </c>
      <c r="AU22" s="199" t="s">
        <v>208</v>
      </c>
      <c r="AV22" s="199" t="s">
        <v>208</v>
      </c>
      <c r="AW22" s="199" t="s">
        <v>208</v>
      </c>
      <c r="AX22" s="199" t="s">
        <v>208</v>
      </c>
      <c r="AY22" s="199" t="s">
        <v>208</v>
      </c>
      <c r="AZ22" s="199" t="s">
        <v>208</v>
      </c>
      <c r="BA22" s="199" t="s">
        <v>208</v>
      </c>
      <c r="BB22" s="199" t="s">
        <v>208</v>
      </c>
      <c r="BC22" s="199" t="s">
        <v>208</v>
      </c>
      <c r="BD22" s="199" t="s">
        <v>208</v>
      </c>
      <c r="BE22" s="199" t="s">
        <v>208</v>
      </c>
      <c r="BF22" s="199" t="s">
        <v>208</v>
      </c>
      <c r="BG22" s="199" t="s">
        <v>208</v>
      </c>
      <c r="BH22" s="199" t="s">
        <v>208</v>
      </c>
      <c r="BI22" s="199" t="s">
        <v>208</v>
      </c>
      <c r="BJ22" s="199" t="s">
        <v>208</v>
      </c>
      <c r="BK22" s="199" t="s">
        <v>208</v>
      </c>
      <c r="BL22" s="203" t="s">
        <v>208</v>
      </c>
      <c r="BM22" s="199" t="s">
        <v>208</v>
      </c>
      <c r="BN22" s="199" t="s">
        <v>208</v>
      </c>
      <c r="BO22" s="199" t="s">
        <v>208</v>
      </c>
      <c r="BP22" s="199" t="s">
        <v>208</v>
      </c>
      <c r="BQ22" s="199" t="s">
        <v>208</v>
      </c>
      <c r="BR22" s="199" t="s">
        <v>208</v>
      </c>
      <c r="BS22" s="199" t="s">
        <v>208</v>
      </c>
      <c r="BT22" s="199" t="s">
        <v>208</v>
      </c>
      <c r="BU22" s="199" t="s">
        <v>210</v>
      </c>
      <c r="BV22" s="199" t="s">
        <v>210</v>
      </c>
      <c r="BW22" s="199" t="s">
        <v>208</v>
      </c>
      <c r="BX22" s="199" t="s">
        <v>208</v>
      </c>
      <c r="BY22" s="199" t="s">
        <v>208</v>
      </c>
      <c r="BZ22" s="199" t="s">
        <v>208</v>
      </c>
      <c r="CA22" s="199" t="s">
        <v>208</v>
      </c>
      <c r="CB22" s="199" t="s">
        <v>208</v>
      </c>
      <c r="CC22" s="199" t="s">
        <v>208</v>
      </c>
      <c r="CD22" s="199" t="s">
        <v>208</v>
      </c>
      <c r="CE22" s="199" t="s">
        <v>208</v>
      </c>
      <c r="CF22" s="199" t="s">
        <v>208</v>
      </c>
      <c r="CG22" s="199" t="s">
        <v>208</v>
      </c>
      <c r="CH22" s="199" t="s">
        <v>208</v>
      </c>
      <c r="CI22" s="199" t="s">
        <v>210</v>
      </c>
      <c r="CJ22" s="199" t="s">
        <v>210</v>
      </c>
      <c r="CK22" s="199" t="s">
        <v>208</v>
      </c>
      <c r="CL22" s="199" t="s">
        <v>208</v>
      </c>
      <c r="CM22" s="199" t="s">
        <v>208</v>
      </c>
      <c r="CN22" s="199" t="s">
        <v>208</v>
      </c>
      <c r="CO22" s="199" t="s">
        <v>208</v>
      </c>
      <c r="CP22" s="203" t="s">
        <v>208</v>
      </c>
      <c r="CQ22" s="199"/>
      <c r="CS22" s="198">
        <f t="shared" si="3"/>
        <v>44</v>
      </c>
      <c r="CT22" s="198">
        <f t="shared" si="4"/>
        <v>4</v>
      </c>
      <c r="CU22" s="198">
        <f t="shared" si="5"/>
        <v>4</v>
      </c>
    </row>
    <row r="23" spans="1:99" ht="15" customHeight="1" x14ac:dyDescent="0.25">
      <c r="A23" s="170">
        <v>14</v>
      </c>
      <c r="B23" s="170">
        <v>24280498</v>
      </c>
      <c r="C23" s="236" t="s">
        <v>172</v>
      </c>
      <c r="D23" s="199" t="s">
        <v>208</v>
      </c>
      <c r="E23" s="199" t="s">
        <v>208</v>
      </c>
      <c r="F23" s="199" t="s">
        <v>208</v>
      </c>
      <c r="G23" s="199" t="s">
        <v>208</v>
      </c>
      <c r="H23" s="199" t="s">
        <v>208</v>
      </c>
      <c r="I23" s="199" t="s">
        <v>208</v>
      </c>
      <c r="J23" s="199" t="s">
        <v>206</v>
      </c>
      <c r="K23" s="199" t="s">
        <v>206</v>
      </c>
      <c r="L23" s="199" t="s">
        <v>206</v>
      </c>
      <c r="M23" s="199" t="s">
        <v>206</v>
      </c>
      <c r="N23" s="199" t="s">
        <v>206</v>
      </c>
      <c r="O23" s="199" t="s">
        <v>206</v>
      </c>
      <c r="P23" s="199" t="s">
        <v>206</v>
      </c>
      <c r="Q23" s="199" t="s">
        <v>206</v>
      </c>
      <c r="R23" s="199" t="s">
        <v>206</v>
      </c>
      <c r="S23" s="199" t="s">
        <v>206</v>
      </c>
      <c r="T23" s="199" t="s">
        <v>206</v>
      </c>
      <c r="U23" s="199" t="s">
        <v>206</v>
      </c>
      <c r="V23" s="199" t="s">
        <v>206</v>
      </c>
      <c r="W23" s="199" t="s">
        <v>206</v>
      </c>
      <c r="X23" s="199" t="s">
        <v>206</v>
      </c>
      <c r="Y23" s="199" t="s">
        <v>206</v>
      </c>
      <c r="Z23" s="199" t="s">
        <v>206</v>
      </c>
      <c r="AA23" s="199" t="s">
        <v>206</v>
      </c>
      <c r="AB23" s="199" t="s">
        <v>206</v>
      </c>
      <c r="AC23" s="199" t="s">
        <v>206</v>
      </c>
      <c r="AD23" s="199" t="s">
        <v>206</v>
      </c>
      <c r="AE23" s="199" t="s">
        <v>206</v>
      </c>
      <c r="AF23" s="199" t="s">
        <v>206</v>
      </c>
      <c r="AG23" s="203" t="s">
        <v>206</v>
      </c>
      <c r="AH23" s="199" t="s">
        <v>206</v>
      </c>
      <c r="AI23" s="199" t="s">
        <v>206</v>
      </c>
      <c r="AJ23" s="199" t="s">
        <v>206</v>
      </c>
      <c r="AK23" s="199" t="s">
        <v>206</v>
      </c>
      <c r="AL23" s="199" t="s">
        <v>83</v>
      </c>
      <c r="AM23" s="199" t="s">
        <v>210</v>
      </c>
      <c r="AN23" s="199" t="s">
        <v>210</v>
      </c>
      <c r="AO23" s="199" t="s">
        <v>210</v>
      </c>
      <c r="AP23" s="199" t="s">
        <v>210</v>
      </c>
      <c r="AQ23" s="199" t="s">
        <v>237</v>
      </c>
      <c r="AR23" s="199" t="s">
        <v>211</v>
      </c>
      <c r="AS23" s="199" t="s">
        <v>211</v>
      </c>
      <c r="AT23" s="199" t="s">
        <v>211</v>
      </c>
      <c r="AU23" s="199" t="s">
        <v>211</v>
      </c>
      <c r="AV23" s="199" t="s">
        <v>211</v>
      </c>
      <c r="AW23" s="199" t="s">
        <v>211</v>
      </c>
      <c r="AX23" s="199" t="s">
        <v>211</v>
      </c>
      <c r="AY23" s="199" t="s">
        <v>211</v>
      </c>
      <c r="AZ23" s="199" t="s">
        <v>211</v>
      </c>
      <c r="BA23" s="199" t="s">
        <v>211</v>
      </c>
      <c r="BB23" s="199" t="s">
        <v>211</v>
      </c>
      <c r="BC23" s="199" t="s">
        <v>211</v>
      </c>
      <c r="BD23" s="199" t="s">
        <v>211</v>
      </c>
      <c r="BE23" s="199" t="s">
        <v>211</v>
      </c>
      <c r="BF23" s="199" t="s">
        <v>211</v>
      </c>
      <c r="BG23" s="199" t="s">
        <v>211</v>
      </c>
      <c r="BH23" s="199" t="s">
        <v>211</v>
      </c>
      <c r="BI23" s="199" t="s">
        <v>211</v>
      </c>
      <c r="BJ23" s="199" t="s">
        <v>211</v>
      </c>
      <c r="BK23" s="199" t="s">
        <v>211</v>
      </c>
      <c r="BL23" s="203" t="s">
        <v>211</v>
      </c>
      <c r="BM23" s="199" t="s">
        <v>211</v>
      </c>
      <c r="BN23" s="199" t="s">
        <v>211</v>
      </c>
      <c r="BO23" s="199" t="s">
        <v>211</v>
      </c>
      <c r="BP23" s="199" t="s">
        <v>211</v>
      </c>
      <c r="BQ23" s="199" t="s">
        <v>211</v>
      </c>
      <c r="BR23" s="199" t="s">
        <v>211</v>
      </c>
      <c r="BS23" s="199" t="s">
        <v>211</v>
      </c>
      <c r="BT23" s="199" t="s">
        <v>211</v>
      </c>
      <c r="BU23" s="199" t="s">
        <v>211</v>
      </c>
      <c r="BV23" s="199" t="s">
        <v>211</v>
      </c>
      <c r="BW23" s="199" t="s">
        <v>211</v>
      </c>
      <c r="BX23" s="199" t="s">
        <v>211</v>
      </c>
      <c r="BY23" s="199" t="s">
        <v>211</v>
      </c>
      <c r="BZ23" s="199" t="s">
        <v>211</v>
      </c>
      <c r="CA23" s="199" t="s">
        <v>211</v>
      </c>
      <c r="CB23" s="199" t="s">
        <v>211</v>
      </c>
      <c r="CC23" s="199" t="s">
        <v>211</v>
      </c>
      <c r="CD23" s="199" t="s">
        <v>211</v>
      </c>
      <c r="CE23" s="199" t="s">
        <v>211</v>
      </c>
      <c r="CF23" s="199" t="s">
        <v>211</v>
      </c>
      <c r="CG23" s="199" t="s">
        <v>211</v>
      </c>
      <c r="CH23" s="199" t="s">
        <v>211</v>
      </c>
      <c r="CI23" s="199" t="s">
        <v>211</v>
      </c>
      <c r="CJ23" s="199" t="s">
        <v>211</v>
      </c>
      <c r="CK23" s="199" t="s">
        <v>211</v>
      </c>
      <c r="CL23" s="199" t="s">
        <v>211</v>
      </c>
      <c r="CM23" s="199" t="s">
        <v>211</v>
      </c>
      <c r="CN23" s="199" t="s">
        <v>211</v>
      </c>
      <c r="CO23" s="199" t="s">
        <v>211</v>
      </c>
      <c r="CP23" s="203" t="s">
        <v>211</v>
      </c>
      <c r="CQ23" s="199"/>
      <c r="CS23" s="198">
        <f t="shared" si="3"/>
        <v>3</v>
      </c>
      <c r="CT23" s="198">
        <f t="shared" si="4"/>
        <v>20</v>
      </c>
      <c r="CU23" s="198">
        <f t="shared" si="5"/>
        <v>29</v>
      </c>
    </row>
    <row r="24" spans="1:99" ht="15" customHeight="1" x14ac:dyDescent="0.25">
      <c r="A24" s="170">
        <v>15</v>
      </c>
      <c r="B24" s="170">
        <v>24274253</v>
      </c>
      <c r="C24" s="236" t="s">
        <v>173</v>
      </c>
      <c r="D24" s="199" t="s">
        <v>209</v>
      </c>
      <c r="E24" s="199" t="s">
        <v>209</v>
      </c>
      <c r="F24" s="199" t="s">
        <v>209</v>
      </c>
      <c r="G24" s="199" t="s">
        <v>209</v>
      </c>
      <c r="H24" s="199" t="s">
        <v>209</v>
      </c>
      <c r="I24" s="199" t="s">
        <v>209</v>
      </c>
      <c r="J24" s="199" t="s">
        <v>209</v>
      </c>
      <c r="K24" s="199" t="s">
        <v>209</v>
      </c>
      <c r="L24" s="199" t="s">
        <v>209</v>
      </c>
      <c r="M24" s="199" t="s">
        <v>209</v>
      </c>
      <c r="N24" s="199" t="s">
        <v>209</v>
      </c>
      <c r="O24" s="199" t="s">
        <v>209</v>
      </c>
      <c r="P24" s="199" t="s">
        <v>209</v>
      </c>
      <c r="Q24" s="199" t="s">
        <v>209</v>
      </c>
      <c r="R24" s="199" t="s">
        <v>209</v>
      </c>
      <c r="S24" s="199" t="s">
        <v>208</v>
      </c>
      <c r="T24" s="199" t="s">
        <v>83</v>
      </c>
      <c r="U24" s="199" t="s">
        <v>208</v>
      </c>
      <c r="V24" s="199" t="s">
        <v>208</v>
      </c>
      <c r="W24" s="199" t="s">
        <v>208</v>
      </c>
      <c r="X24" s="199" t="s">
        <v>208</v>
      </c>
      <c r="Y24" s="199" t="s">
        <v>208</v>
      </c>
      <c r="Z24" s="199" t="s">
        <v>208</v>
      </c>
      <c r="AA24" s="199" t="s">
        <v>208</v>
      </c>
      <c r="AB24" s="199" t="s">
        <v>208</v>
      </c>
      <c r="AC24" s="199" t="s">
        <v>208</v>
      </c>
      <c r="AD24" s="199" t="s">
        <v>83</v>
      </c>
      <c r="AE24" s="199" t="s">
        <v>208</v>
      </c>
      <c r="AF24" s="199" t="s">
        <v>208</v>
      </c>
      <c r="AG24" s="203" t="s">
        <v>208</v>
      </c>
      <c r="AH24" s="199" t="s">
        <v>208</v>
      </c>
      <c r="AI24" s="199" t="s">
        <v>83</v>
      </c>
      <c r="AJ24" s="199" t="s">
        <v>208</v>
      </c>
      <c r="AK24" s="199" t="s">
        <v>208</v>
      </c>
      <c r="AL24" s="199" t="s">
        <v>208</v>
      </c>
      <c r="AM24" s="199" t="s">
        <v>208</v>
      </c>
      <c r="AN24" s="199" t="s">
        <v>208</v>
      </c>
      <c r="AO24" s="199" t="s">
        <v>208</v>
      </c>
      <c r="AP24" s="199" t="s">
        <v>208</v>
      </c>
      <c r="AQ24" s="199" t="s">
        <v>208</v>
      </c>
      <c r="AR24" s="199" t="s">
        <v>208</v>
      </c>
      <c r="AS24" s="199" t="s">
        <v>208</v>
      </c>
      <c r="AT24" s="199" t="s">
        <v>208</v>
      </c>
      <c r="AU24" s="199" t="s">
        <v>208</v>
      </c>
      <c r="AV24" s="199" t="s">
        <v>208</v>
      </c>
      <c r="AW24" s="199" t="s">
        <v>208</v>
      </c>
      <c r="AX24" s="199" t="s">
        <v>208</v>
      </c>
      <c r="AY24" s="199" t="s">
        <v>208</v>
      </c>
      <c r="AZ24" s="199" t="s">
        <v>208</v>
      </c>
      <c r="BA24" s="199" t="s">
        <v>208</v>
      </c>
      <c r="BB24" s="199" t="s">
        <v>208</v>
      </c>
      <c r="BC24" s="199" t="s">
        <v>208</v>
      </c>
      <c r="BD24" s="199" t="s">
        <v>208</v>
      </c>
      <c r="BE24" s="199" t="s">
        <v>208</v>
      </c>
      <c r="BF24" s="199" t="s">
        <v>208</v>
      </c>
      <c r="BG24" s="199" t="s">
        <v>83</v>
      </c>
      <c r="BH24" s="199" t="s">
        <v>208</v>
      </c>
      <c r="BI24" s="199" t="s">
        <v>208</v>
      </c>
      <c r="BJ24" s="199" t="s">
        <v>208</v>
      </c>
      <c r="BK24" s="199" t="s">
        <v>208</v>
      </c>
      <c r="BL24" s="203" t="s">
        <v>208</v>
      </c>
      <c r="BM24" s="199" t="s">
        <v>208</v>
      </c>
      <c r="BN24" s="199" t="s">
        <v>232</v>
      </c>
      <c r="BO24" s="199" t="s">
        <v>232</v>
      </c>
      <c r="BP24" s="199" t="s">
        <v>206</v>
      </c>
      <c r="BQ24" s="199" t="s">
        <v>206</v>
      </c>
      <c r="BR24" s="199" t="s">
        <v>206</v>
      </c>
      <c r="BS24" s="199" t="s">
        <v>206</v>
      </c>
      <c r="BT24" s="199" t="s">
        <v>206</v>
      </c>
      <c r="BU24" s="199" t="s">
        <v>206</v>
      </c>
      <c r="BV24" s="199" t="s">
        <v>206</v>
      </c>
      <c r="BW24" s="199" t="s">
        <v>206</v>
      </c>
      <c r="BX24" s="199" t="s">
        <v>206</v>
      </c>
      <c r="BY24" s="199" t="s">
        <v>206</v>
      </c>
      <c r="BZ24" s="199" t="s">
        <v>206</v>
      </c>
      <c r="CA24" s="199" t="s">
        <v>206</v>
      </c>
      <c r="CB24" s="199" t="s">
        <v>206</v>
      </c>
      <c r="CC24" s="199" t="s">
        <v>206</v>
      </c>
      <c r="CD24" s="199" t="s">
        <v>206</v>
      </c>
      <c r="CE24" s="199" t="s">
        <v>206</v>
      </c>
      <c r="CF24" s="199" t="s">
        <v>206</v>
      </c>
      <c r="CG24" s="199" t="s">
        <v>206</v>
      </c>
      <c r="CH24" s="199" t="s">
        <v>206</v>
      </c>
      <c r="CI24" s="199" t="s">
        <v>206</v>
      </c>
      <c r="CJ24" s="199" t="s">
        <v>206</v>
      </c>
      <c r="CK24" s="199" t="s">
        <v>206</v>
      </c>
      <c r="CL24" s="199" t="s">
        <v>206</v>
      </c>
      <c r="CM24" s="199" t="s">
        <v>206</v>
      </c>
      <c r="CN24" s="199" t="s">
        <v>206</v>
      </c>
      <c r="CO24" s="199" t="s">
        <v>206</v>
      </c>
      <c r="CP24" s="203" t="s">
        <v>83</v>
      </c>
      <c r="CQ24" s="199"/>
      <c r="CS24" s="198">
        <f t="shared" si="3"/>
        <v>21</v>
      </c>
      <c r="CT24" s="198">
        <f t="shared" si="4"/>
        <v>18</v>
      </c>
      <c r="CU24" s="198">
        <f t="shared" si="5"/>
        <v>28</v>
      </c>
    </row>
    <row r="25" spans="1:99" ht="15" customHeight="1" x14ac:dyDescent="0.25">
      <c r="A25" s="170">
        <v>16</v>
      </c>
      <c r="B25" s="170">
        <v>24274086</v>
      </c>
      <c r="C25" s="236" t="s">
        <v>174</v>
      </c>
      <c r="D25" s="199" t="s">
        <v>209</v>
      </c>
      <c r="E25" s="199" t="s">
        <v>209</v>
      </c>
      <c r="F25" s="199" t="s">
        <v>209</v>
      </c>
      <c r="G25" s="199" t="s">
        <v>209</v>
      </c>
      <c r="H25" s="199" t="s">
        <v>209</v>
      </c>
      <c r="I25" s="199" t="s">
        <v>209</v>
      </c>
      <c r="J25" s="199" t="s">
        <v>83</v>
      </c>
      <c r="K25" s="199" t="s">
        <v>208</v>
      </c>
      <c r="L25" s="199" t="s">
        <v>208</v>
      </c>
      <c r="M25" s="199" t="s">
        <v>208</v>
      </c>
      <c r="N25" s="199" t="s">
        <v>208</v>
      </c>
      <c r="O25" s="199" t="s">
        <v>208</v>
      </c>
      <c r="P25" s="199" t="s">
        <v>208</v>
      </c>
      <c r="Q25" s="199" t="s">
        <v>208</v>
      </c>
      <c r="R25" s="199" t="s">
        <v>208</v>
      </c>
      <c r="S25" s="199" t="s">
        <v>224</v>
      </c>
      <c r="T25" s="199" t="s">
        <v>224</v>
      </c>
      <c r="U25" s="199" t="s">
        <v>224</v>
      </c>
      <c r="V25" s="199" t="s">
        <v>224</v>
      </c>
      <c r="W25" s="199" t="s">
        <v>224</v>
      </c>
      <c r="X25" s="199" t="s">
        <v>224</v>
      </c>
      <c r="Y25" s="199" t="s">
        <v>224</v>
      </c>
      <c r="Z25" s="199" t="s">
        <v>224</v>
      </c>
      <c r="AA25" s="199" t="s">
        <v>224</v>
      </c>
      <c r="AB25" s="199" t="s">
        <v>224</v>
      </c>
      <c r="AC25" s="199" t="s">
        <v>224</v>
      </c>
      <c r="AD25" s="199" t="s">
        <v>224</v>
      </c>
      <c r="AE25" s="199" t="s">
        <v>224</v>
      </c>
      <c r="AF25" s="199" t="s">
        <v>224</v>
      </c>
      <c r="AG25" s="203" t="s">
        <v>208</v>
      </c>
      <c r="AH25" s="199" t="s">
        <v>208</v>
      </c>
      <c r="AI25" s="199" t="s">
        <v>83</v>
      </c>
      <c r="AJ25" s="199" t="s">
        <v>208</v>
      </c>
      <c r="AK25" s="199" t="s">
        <v>208</v>
      </c>
      <c r="AL25" s="199" t="s">
        <v>208</v>
      </c>
      <c r="AM25" s="199" t="s">
        <v>208</v>
      </c>
      <c r="AN25" s="199" t="s">
        <v>208</v>
      </c>
      <c r="AO25" s="199" t="s">
        <v>208</v>
      </c>
      <c r="AP25" s="199" t="s">
        <v>208</v>
      </c>
      <c r="AQ25" s="199" t="s">
        <v>208</v>
      </c>
      <c r="AR25" s="199" t="s">
        <v>208</v>
      </c>
      <c r="AS25" s="199" t="s">
        <v>208</v>
      </c>
      <c r="AT25" s="199" t="s">
        <v>208</v>
      </c>
      <c r="AU25" s="199" t="s">
        <v>208</v>
      </c>
      <c r="AV25" s="199" t="s">
        <v>208</v>
      </c>
      <c r="AW25" s="199" t="s">
        <v>208</v>
      </c>
      <c r="AX25" s="199" t="s">
        <v>208</v>
      </c>
      <c r="AY25" s="199" t="s">
        <v>208</v>
      </c>
      <c r="AZ25" s="199" t="s">
        <v>208</v>
      </c>
      <c r="BA25" s="199" t="s">
        <v>208</v>
      </c>
      <c r="BB25" s="199" t="s">
        <v>208</v>
      </c>
      <c r="BC25" s="199" t="s">
        <v>208</v>
      </c>
      <c r="BD25" s="199" t="s">
        <v>208</v>
      </c>
      <c r="BE25" s="199" t="s">
        <v>208</v>
      </c>
      <c r="BF25" s="199" t="s">
        <v>208</v>
      </c>
      <c r="BG25" s="199" t="s">
        <v>206</v>
      </c>
      <c r="BH25" s="199" t="s">
        <v>206</v>
      </c>
      <c r="BI25" s="199" t="s">
        <v>206</v>
      </c>
      <c r="BJ25" s="199" t="s">
        <v>206</v>
      </c>
      <c r="BK25" s="199" t="s">
        <v>206</v>
      </c>
      <c r="BL25" s="203" t="s">
        <v>206</v>
      </c>
      <c r="BM25" s="199" t="s">
        <v>206</v>
      </c>
      <c r="BN25" s="199" t="s">
        <v>206</v>
      </c>
      <c r="BO25" s="199" t="s">
        <v>206</v>
      </c>
      <c r="BP25" s="199" t="s">
        <v>206</v>
      </c>
      <c r="BQ25" s="199" t="s">
        <v>206</v>
      </c>
      <c r="BR25" s="199" t="s">
        <v>206</v>
      </c>
      <c r="BS25" s="199" t="s">
        <v>206</v>
      </c>
      <c r="BT25" s="199" t="s">
        <v>206</v>
      </c>
      <c r="BU25" s="199" t="s">
        <v>206</v>
      </c>
      <c r="BV25" s="199" t="s">
        <v>206</v>
      </c>
      <c r="BW25" s="199" t="s">
        <v>206</v>
      </c>
      <c r="BX25" s="199" t="s">
        <v>206</v>
      </c>
      <c r="BY25" s="199" t="s">
        <v>206</v>
      </c>
      <c r="BZ25" s="199" t="s">
        <v>83</v>
      </c>
      <c r="CA25" s="199" t="s">
        <v>207</v>
      </c>
      <c r="CB25" s="199" t="s">
        <v>207</v>
      </c>
      <c r="CC25" s="199" t="s">
        <v>207</v>
      </c>
      <c r="CD25" s="199" t="s">
        <v>207</v>
      </c>
      <c r="CE25" s="199" t="s">
        <v>208</v>
      </c>
      <c r="CF25" s="199" t="s">
        <v>208</v>
      </c>
      <c r="CG25" s="199" t="s">
        <v>208</v>
      </c>
      <c r="CH25" s="199" t="s">
        <v>208</v>
      </c>
      <c r="CI25" s="199" t="s">
        <v>208</v>
      </c>
      <c r="CJ25" s="199" t="s">
        <v>208</v>
      </c>
      <c r="CK25" s="199" t="s">
        <v>208</v>
      </c>
      <c r="CL25" s="199" t="s">
        <v>208</v>
      </c>
      <c r="CM25" s="199" t="s">
        <v>208</v>
      </c>
      <c r="CN25" s="199" t="s">
        <v>208</v>
      </c>
      <c r="CO25" s="199" t="s">
        <v>208</v>
      </c>
      <c r="CP25" s="203" t="s">
        <v>208</v>
      </c>
      <c r="CQ25" s="199"/>
      <c r="CS25" s="198">
        <f t="shared" si="3"/>
        <v>24</v>
      </c>
      <c r="CT25" s="198">
        <f t="shared" si="4"/>
        <v>12</v>
      </c>
      <c r="CU25" s="198">
        <f t="shared" si="5"/>
        <v>19</v>
      </c>
    </row>
    <row r="26" spans="1:99" ht="15" customHeight="1" x14ac:dyDescent="0.25">
      <c r="A26" s="170">
        <v>17</v>
      </c>
      <c r="B26" s="170">
        <v>24280335</v>
      </c>
      <c r="C26" s="236" t="s">
        <v>175</v>
      </c>
      <c r="D26" s="199" t="s">
        <v>208</v>
      </c>
      <c r="E26" s="199" t="s">
        <v>208</v>
      </c>
      <c r="F26" s="199" t="s">
        <v>208</v>
      </c>
      <c r="G26" s="199" t="s">
        <v>208</v>
      </c>
      <c r="H26" s="199" t="s">
        <v>208</v>
      </c>
      <c r="I26" s="199" t="s">
        <v>208</v>
      </c>
      <c r="J26" s="199" t="s">
        <v>83</v>
      </c>
      <c r="K26" s="199" t="s">
        <v>208</v>
      </c>
      <c r="L26" s="199" t="s">
        <v>208</v>
      </c>
      <c r="M26" s="199" t="s">
        <v>208</v>
      </c>
      <c r="N26" s="199" t="s">
        <v>208</v>
      </c>
      <c r="O26" s="199" t="s">
        <v>208</v>
      </c>
      <c r="P26" s="199" t="s">
        <v>208</v>
      </c>
      <c r="Q26" s="199" t="s">
        <v>208</v>
      </c>
      <c r="R26" s="199" t="s">
        <v>208</v>
      </c>
      <c r="S26" s="199" t="s">
        <v>208</v>
      </c>
      <c r="T26" s="199" t="s">
        <v>208</v>
      </c>
      <c r="U26" s="199" t="s">
        <v>208</v>
      </c>
      <c r="V26" s="199" t="s">
        <v>208</v>
      </c>
      <c r="W26" s="199" t="s">
        <v>208</v>
      </c>
      <c r="X26" s="199" t="s">
        <v>208</v>
      </c>
      <c r="Y26" s="199" t="s">
        <v>208</v>
      </c>
      <c r="Z26" s="199" t="s">
        <v>208</v>
      </c>
      <c r="AA26" s="199" t="s">
        <v>232</v>
      </c>
      <c r="AB26" s="199" t="s">
        <v>232</v>
      </c>
      <c r="AC26" s="199" t="s">
        <v>232</v>
      </c>
      <c r="AD26" s="199" t="s">
        <v>208</v>
      </c>
      <c r="AE26" s="199" t="s">
        <v>208</v>
      </c>
      <c r="AF26" s="199" t="s">
        <v>208</v>
      </c>
      <c r="AG26" s="203" t="s">
        <v>208</v>
      </c>
      <c r="AH26" s="199" t="s">
        <v>208</v>
      </c>
      <c r="AI26" s="199" t="s">
        <v>83</v>
      </c>
      <c r="AJ26" s="199" t="s">
        <v>206</v>
      </c>
      <c r="AK26" s="199" t="s">
        <v>206</v>
      </c>
      <c r="AL26" s="199" t="s">
        <v>206</v>
      </c>
      <c r="AM26" s="199" t="s">
        <v>206</v>
      </c>
      <c r="AN26" s="199" t="s">
        <v>206</v>
      </c>
      <c r="AO26" s="199" t="s">
        <v>206</v>
      </c>
      <c r="AP26" s="199" t="s">
        <v>206</v>
      </c>
      <c r="AQ26" s="199" t="s">
        <v>206</v>
      </c>
      <c r="AR26" s="199" t="s">
        <v>206</v>
      </c>
      <c r="AS26" s="199" t="s">
        <v>206</v>
      </c>
      <c r="AT26" s="199" t="s">
        <v>206</v>
      </c>
      <c r="AU26" s="199" t="s">
        <v>206</v>
      </c>
      <c r="AV26" s="199" t="s">
        <v>206</v>
      </c>
      <c r="AW26" s="199" t="s">
        <v>206</v>
      </c>
      <c r="AX26" s="199" t="s">
        <v>206</v>
      </c>
      <c r="AY26" s="199" t="s">
        <v>206</v>
      </c>
      <c r="AZ26" s="199" t="s">
        <v>206</v>
      </c>
      <c r="BA26" s="199" t="s">
        <v>206</v>
      </c>
      <c r="BB26" s="199" t="s">
        <v>206</v>
      </c>
      <c r="BC26" s="199" t="s">
        <v>206</v>
      </c>
      <c r="BD26" s="199" t="s">
        <v>206</v>
      </c>
      <c r="BE26" s="199" t="s">
        <v>206</v>
      </c>
      <c r="BF26" s="199" t="s">
        <v>206</v>
      </c>
      <c r="BG26" s="199" t="s">
        <v>206</v>
      </c>
      <c r="BH26" s="199" t="s">
        <v>206</v>
      </c>
      <c r="BI26" s="199" t="s">
        <v>206</v>
      </c>
      <c r="BJ26" s="199" t="s">
        <v>83</v>
      </c>
      <c r="BK26" s="199" t="s">
        <v>207</v>
      </c>
      <c r="BL26" s="203" t="s">
        <v>207</v>
      </c>
      <c r="BM26" s="199" t="s">
        <v>207</v>
      </c>
      <c r="BN26" s="199" t="s">
        <v>208</v>
      </c>
      <c r="BO26" s="199" t="s">
        <v>208</v>
      </c>
      <c r="BP26" s="199" t="s">
        <v>208</v>
      </c>
      <c r="BQ26" s="199" t="s">
        <v>208</v>
      </c>
      <c r="BR26" s="199" t="s">
        <v>208</v>
      </c>
      <c r="BS26" s="199" t="s">
        <v>208</v>
      </c>
      <c r="BT26" s="199" t="s">
        <v>208</v>
      </c>
      <c r="BU26" s="199" t="s">
        <v>208</v>
      </c>
      <c r="BV26" s="199" t="s">
        <v>208</v>
      </c>
      <c r="BW26" s="199" t="s">
        <v>208</v>
      </c>
      <c r="BX26" s="199" t="s">
        <v>208</v>
      </c>
      <c r="BY26" s="199" t="s">
        <v>208</v>
      </c>
      <c r="BZ26" s="199" t="s">
        <v>208</v>
      </c>
      <c r="CA26" s="199" t="s">
        <v>208</v>
      </c>
      <c r="CB26" s="199" t="s">
        <v>208</v>
      </c>
      <c r="CC26" s="199" t="s">
        <v>208</v>
      </c>
      <c r="CD26" s="199" t="s">
        <v>208</v>
      </c>
      <c r="CE26" s="199" t="s">
        <v>208</v>
      </c>
      <c r="CF26" s="199" t="s">
        <v>208</v>
      </c>
      <c r="CG26" s="199" t="s">
        <v>208</v>
      </c>
      <c r="CH26" s="199" t="s">
        <v>208</v>
      </c>
      <c r="CI26" s="199" t="s">
        <v>208</v>
      </c>
      <c r="CJ26" s="199" t="s">
        <v>208</v>
      </c>
      <c r="CK26" s="199" t="s">
        <v>208</v>
      </c>
      <c r="CL26" s="199" t="s">
        <v>208</v>
      </c>
      <c r="CM26" s="199" t="s">
        <v>208</v>
      </c>
      <c r="CN26" s="199" t="s">
        <v>233</v>
      </c>
      <c r="CO26" s="199" t="s">
        <v>233</v>
      </c>
      <c r="CP26" s="203" t="s">
        <v>233</v>
      </c>
      <c r="CQ26" s="199"/>
      <c r="CS26" s="198">
        <f t="shared" si="3"/>
        <v>26</v>
      </c>
      <c r="CT26" s="198">
        <f t="shared" si="4"/>
        <v>18</v>
      </c>
      <c r="CU26" s="198">
        <f t="shared" si="5"/>
        <v>29</v>
      </c>
    </row>
    <row r="27" spans="1:99" ht="15" customHeight="1" x14ac:dyDescent="0.25">
      <c r="A27" s="170">
        <v>18</v>
      </c>
      <c r="B27" s="170">
        <v>24288774</v>
      </c>
      <c r="C27" s="236" t="s">
        <v>176</v>
      </c>
      <c r="D27" s="199" t="s">
        <v>206</v>
      </c>
      <c r="E27" s="199" t="s">
        <v>206</v>
      </c>
      <c r="F27" s="199" t="s">
        <v>83</v>
      </c>
      <c r="G27" s="199" t="s">
        <v>207</v>
      </c>
      <c r="H27" s="199" t="s">
        <v>207</v>
      </c>
      <c r="I27" s="199" t="s">
        <v>207</v>
      </c>
      <c r="J27" s="199" t="s">
        <v>83</v>
      </c>
      <c r="K27" s="199" t="s">
        <v>208</v>
      </c>
      <c r="L27" s="199" t="s">
        <v>208</v>
      </c>
      <c r="M27" s="199" t="s">
        <v>208</v>
      </c>
      <c r="N27" s="199" t="s">
        <v>208</v>
      </c>
      <c r="O27" s="199" t="s">
        <v>208</v>
      </c>
      <c r="P27" s="199" t="s">
        <v>208</v>
      </c>
      <c r="Q27" s="199" t="s">
        <v>208</v>
      </c>
      <c r="R27" s="199" t="s">
        <v>208</v>
      </c>
      <c r="S27" s="199" t="s">
        <v>208</v>
      </c>
      <c r="T27" s="199" t="s">
        <v>208</v>
      </c>
      <c r="U27" s="199" t="s">
        <v>208</v>
      </c>
      <c r="V27" s="199" t="s">
        <v>208</v>
      </c>
      <c r="W27" s="199" t="s">
        <v>208</v>
      </c>
      <c r="X27" s="199" t="s">
        <v>208</v>
      </c>
      <c r="Y27" s="199" t="s">
        <v>208</v>
      </c>
      <c r="Z27" s="199" t="s">
        <v>208</v>
      </c>
      <c r="AA27" s="199" t="s">
        <v>208</v>
      </c>
      <c r="AB27" s="199" t="s">
        <v>208</v>
      </c>
      <c r="AC27" s="199" t="s">
        <v>208</v>
      </c>
      <c r="AD27" s="199" t="s">
        <v>208</v>
      </c>
      <c r="AE27" s="199" t="s">
        <v>208</v>
      </c>
      <c r="AF27" s="199" t="s">
        <v>208</v>
      </c>
      <c r="AG27" s="203" t="s">
        <v>208</v>
      </c>
      <c r="AH27" s="199" t="s">
        <v>208</v>
      </c>
      <c r="AI27" s="199" t="s">
        <v>83</v>
      </c>
      <c r="AJ27" s="199" t="s">
        <v>208</v>
      </c>
      <c r="AK27" s="199" t="s">
        <v>208</v>
      </c>
      <c r="AL27" s="199" t="s">
        <v>208</v>
      </c>
      <c r="AM27" s="199" t="s">
        <v>210</v>
      </c>
      <c r="AN27" s="199" t="s">
        <v>210</v>
      </c>
      <c r="AO27" s="199" t="s">
        <v>210</v>
      </c>
      <c r="AP27" s="199" t="s">
        <v>210</v>
      </c>
      <c r="AQ27" s="199" t="s">
        <v>83</v>
      </c>
      <c r="AR27" s="199" t="s">
        <v>83</v>
      </c>
      <c r="AS27" s="199" t="s">
        <v>83</v>
      </c>
      <c r="AT27" s="199" t="s">
        <v>83</v>
      </c>
      <c r="AU27" s="199" t="s">
        <v>208</v>
      </c>
      <c r="AV27" s="199" t="s">
        <v>208</v>
      </c>
      <c r="AW27" s="199" t="s">
        <v>208</v>
      </c>
      <c r="AX27" s="199" t="s">
        <v>208</v>
      </c>
      <c r="AY27" s="199" t="s">
        <v>208</v>
      </c>
      <c r="AZ27" s="199" t="s">
        <v>208</v>
      </c>
      <c r="BA27" s="199" t="s">
        <v>208</v>
      </c>
      <c r="BB27" s="199" t="s">
        <v>208</v>
      </c>
      <c r="BC27" s="199" t="s">
        <v>208</v>
      </c>
      <c r="BD27" s="199" t="s">
        <v>208</v>
      </c>
      <c r="BE27" s="199" t="s">
        <v>208</v>
      </c>
      <c r="BF27" s="199" t="s">
        <v>208</v>
      </c>
      <c r="BG27" s="199" t="s">
        <v>208</v>
      </c>
      <c r="BH27" s="199" t="s">
        <v>208</v>
      </c>
      <c r="BI27" s="199" t="s">
        <v>208</v>
      </c>
      <c r="BJ27" s="199" t="s">
        <v>208</v>
      </c>
      <c r="BK27" s="199" t="s">
        <v>208</v>
      </c>
      <c r="BL27" s="203" t="s">
        <v>208</v>
      </c>
      <c r="BM27" s="199" t="s">
        <v>208</v>
      </c>
      <c r="BN27" s="199" t="s">
        <v>208</v>
      </c>
      <c r="BO27" s="199" t="s">
        <v>208</v>
      </c>
      <c r="BP27" s="199" t="s">
        <v>208</v>
      </c>
      <c r="BQ27" s="199" t="s">
        <v>208</v>
      </c>
      <c r="BR27" s="199" t="s">
        <v>208</v>
      </c>
      <c r="BS27" s="199" t="s">
        <v>208</v>
      </c>
      <c r="BT27" s="199" t="s">
        <v>208</v>
      </c>
      <c r="BU27" s="199" t="s">
        <v>208</v>
      </c>
      <c r="BV27" s="199" t="s">
        <v>208</v>
      </c>
      <c r="BW27" s="199" t="s">
        <v>208</v>
      </c>
      <c r="BX27" s="199" t="s">
        <v>208</v>
      </c>
      <c r="BY27" s="199" t="s">
        <v>208</v>
      </c>
      <c r="BZ27" s="199" t="s">
        <v>208</v>
      </c>
      <c r="CA27" s="199" t="s">
        <v>208</v>
      </c>
      <c r="CB27" s="199" t="s">
        <v>208</v>
      </c>
      <c r="CC27" s="199" t="s">
        <v>208</v>
      </c>
      <c r="CD27" s="199" t="s">
        <v>208</v>
      </c>
      <c r="CE27" s="199" t="s">
        <v>208</v>
      </c>
      <c r="CF27" s="199" t="s">
        <v>208</v>
      </c>
      <c r="CG27" s="199" t="s">
        <v>83</v>
      </c>
      <c r="CH27" s="199" t="s">
        <v>83</v>
      </c>
      <c r="CI27" s="199" t="s">
        <v>210</v>
      </c>
      <c r="CJ27" s="199" t="s">
        <v>210</v>
      </c>
      <c r="CK27" s="199" t="s">
        <v>210</v>
      </c>
      <c r="CL27" s="199" t="s">
        <v>210</v>
      </c>
      <c r="CM27" s="199" t="s">
        <v>208</v>
      </c>
      <c r="CN27" s="199" t="s">
        <v>208</v>
      </c>
      <c r="CO27" s="199" t="s">
        <v>208</v>
      </c>
      <c r="CP27" s="203" t="s">
        <v>208</v>
      </c>
      <c r="CQ27" s="199"/>
      <c r="CS27" s="198">
        <f t="shared" si="3"/>
        <v>39</v>
      </c>
      <c r="CT27" s="198">
        <f t="shared" si="4"/>
        <v>2</v>
      </c>
      <c r="CU27" s="198">
        <f t="shared" si="5"/>
        <v>2</v>
      </c>
    </row>
    <row r="28" spans="1:99" ht="15" customHeight="1" x14ac:dyDescent="0.25">
      <c r="A28" s="170">
        <v>19</v>
      </c>
      <c r="B28" s="170">
        <v>24288186</v>
      </c>
      <c r="C28" s="236" t="s">
        <v>177</v>
      </c>
      <c r="D28" s="199" t="s">
        <v>206</v>
      </c>
      <c r="E28" s="199" t="s">
        <v>206</v>
      </c>
      <c r="F28" s="199" t="s">
        <v>206</v>
      </c>
      <c r="G28" s="199" t="s">
        <v>206</v>
      </c>
      <c r="H28" s="199" t="s">
        <v>206</v>
      </c>
      <c r="I28" s="199" t="s">
        <v>206</v>
      </c>
      <c r="J28" s="199" t="s">
        <v>206</v>
      </c>
      <c r="K28" s="199" t="s">
        <v>206</v>
      </c>
      <c r="L28" s="199" t="s">
        <v>206</v>
      </c>
      <c r="M28" s="199" t="s">
        <v>206</v>
      </c>
      <c r="N28" s="199" t="s">
        <v>83</v>
      </c>
      <c r="O28" s="199" t="s">
        <v>207</v>
      </c>
      <c r="P28" s="199" t="s">
        <v>207</v>
      </c>
      <c r="Q28" s="199" t="s">
        <v>207</v>
      </c>
      <c r="R28" s="199" t="s">
        <v>207</v>
      </c>
      <c r="S28" s="199" t="s">
        <v>208</v>
      </c>
      <c r="T28" s="199" t="s">
        <v>208</v>
      </c>
      <c r="U28" s="199" t="s">
        <v>208</v>
      </c>
      <c r="V28" s="199" t="s">
        <v>208</v>
      </c>
      <c r="W28" s="199" t="s">
        <v>208</v>
      </c>
      <c r="X28" s="199" t="s">
        <v>208</v>
      </c>
      <c r="Y28" s="199" t="s">
        <v>208</v>
      </c>
      <c r="Z28" s="199" t="s">
        <v>208</v>
      </c>
      <c r="AA28" s="199" t="s">
        <v>208</v>
      </c>
      <c r="AB28" s="199" t="s">
        <v>208</v>
      </c>
      <c r="AC28" s="199" t="s">
        <v>208</v>
      </c>
      <c r="AD28" s="199" t="s">
        <v>208</v>
      </c>
      <c r="AE28" s="199" t="s">
        <v>208</v>
      </c>
      <c r="AF28" s="199" t="s">
        <v>208</v>
      </c>
      <c r="AG28" s="203" t="s">
        <v>208</v>
      </c>
      <c r="AH28" s="199" t="s">
        <v>208</v>
      </c>
      <c r="AI28" s="199" t="s">
        <v>83</v>
      </c>
      <c r="AJ28" s="199" t="s">
        <v>208</v>
      </c>
      <c r="AK28" s="199" t="s">
        <v>208</v>
      </c>
      <c r="AL28" s="199" t="s">
        <v>208</v>
      </c>
      <c r="AM28" s="199" t="s">
        <v>208</v>
      </c>
      <c r="AN28" s="199" t="s">
        <v>208</v>
      </c>
      <c r="AO28" s="199" t="s">
        <v>208</v>
      </c>
      <c r="AP28" s="199" t="s">
        <v>208</v>
      </c>
      <c r="AQ28" s="199" t="s">
        <v>208</v>
      </c>
      <c r="AR28" s="199" t="s">
        <v>208</v>
      </c>
      <c r="AS28" s="199" t="s">
        <v>83</v>
      </c>
      <c r="AT28" s="199" t="s">
        <v>208</v>
      </c>
      <c r="AU28" s="199" t="s">
        <v>208</v>
      </c>
      <c r="AV28" s="199" t="s">
        <v>208</v>
      </c>
      <c r="AW28" s="199" t="s">
        <v>208</v>
      </c>
      <c r="AX28" s="199" t="s">
        <v>208</v>
      </c>
      <c r="AY28" s="199" t="s">
        <v>208</v>
      </c>
      <c r="AZ28" s="199" t="s">
        <v>208</v>
      </c>
      <c r="BA28" s="199" t="s">
        <v>208</v>
      </c>
      <c r="BB28" s="199" t="s">
        <v>208</v>
      </c>
      <c r="BC28" s="199" t="s">
        <v>208</v>
      </c>
      <c r="BD28" s="199" t="s">
        <v>208</v>
      </c>
      <c r="BE28" s="199" t="s">
        <v>208</v>
      </c>
      <c r="BF28" s="199" t="s">
        <v>208</v>
      </c>
      <c r="BG28" s="199" t="s">
        <v>208</v>
      </c>
      <c r="BH28" s="199" t="s">
        <v>208</v>
      </c>
      <c r="BI28" s="199" t="s">
        <v>208</v>
      </c>
      <c r="BJ28" s="199" t="s">
        <v>208</v>
      </c>
      <c r="BK28" s="199" t="s">
        <v>208</v>
      </c>
      <c r="BL28" s="203" t="s">
        <v>208</v>
      </c>
      <c r="BM28" s="199" t="s">
        <v>208</v>
      </c>
      <c r="BN28" s="199" t="s">
        <v>208</v>
      </c>
      <c r="BO28" s="199" t="s">
        <v>208</v>
      </c>
      <c r="BP28" s="199" t="s">
        <v>208</v>
      </c>
      <c r="BQ28" s="199" t="s">
        <v>208</v>
      </c>
      <c r="BR28" s="199" t="s">
        <v>208</v>
      </c>
      <c r="BS28" s="199" t="s">
        <v>208</v>
      </c>
      <c r="BT28" s="199" t="s">
        <v>208</v>
      </c>
      <c r="BU28" s="199" t="s">
        <v>224</v>
      </c>
      <c r="BV28" s="199" t="s">
        <v>208</v>
      </c>
      <c r="BW28" s="199" t="s">
        <v>208</v>
      </c>
      <c r="BX28" s="199" t="s">
        <v>208</v>
      </c>
      <c r="BY28" s="199" t="s">
        <v>83</v>
      </c>
      <c r="BZ28" s="199" t="s">
        <v>232</v>
      </c>
      <c r="CA28" s="199" t="s">
        <v>207</v>
      </c>
      <c r="CB28" s="199" t="s">
        <v>207</v>
      </c>
      <c r="CC28" s="199" t="s">
        <v>207</v>
      </c>
      <c r="CD28" s="199" t="s">
        <v>207</v>
      </c>
      <c r="CE28" s="199" t="s">
        <v>232</v>
      </c>
      <c r="CF28" s="199" t="s">
        <v>83</v>
      </c>
      <c r="CG28" s="199" t="s">
        <v>208</v>
      </c>
      <c r="CH28" s="199" t="s">
        <v>208</v>
      </c>
      <c r="CI28" s="199" t="s">
        <v>208</v>
      </c>
      <c r="CJ28" s="199" t="s">
        <v>208</v>
      </c>
      <c r="CK28" s="199" t="s">
        <v>208</v>
      </c>
      <c r="CL28" s="199" t="s">
        <v>208</v>
      </c>
      <c r="CM28" s="199" t="s">
        <v>206</v>
      </c>
      <c r="CN28" s="199" t="s">
        <v>206</v>
      </c>
      <c r="CO28" s="199" t="s">
        <v>206</v>
      </c>
      <c r="CP28" s="203" t="s">
        <v>206</v>
      </c>
      <c r="CQ28" s="199"/>
      <c r="CS28" s="198">
        <f t="shared" si="3"/>
        <v>32</v>
      </c>
      <c r="CT28" s="198">
        <f t="shared" si="4"/>
        <v>13</v>
      </c>
      <c r="CU28" s="198">
        <f t="shared" si="5"/>
        <v>16</v>
      </c>
    </row>
    <row r="29" spans="1:99" ht="15" customHeight="1" x14ac:dyDescent="0.25">
      <c r="A29" s="170">
        <v>20</v>
      </c>
      <c r="B29" s="170">
        <v>24301947</v>
      </c>
      <c r="C29" s="236" t="s">
        <v>178</v>
      </c>
      <c r="D29" s="199" t="s">
        <v>208</v>
      </c>
      <c r="E29" s="199" t="s">
        <v>208</v>
      </c>
      <c r="F29" s="199" t="s">
        <v>208</v>
      </c>
      <c r="G29" s="199" t="s">
        <v>208</v>
      </c>
      <c r="H29" s="199" t="s">
        <v>208</v>
      </c>
      <c r="I29" s="199" t="s">
        <v>208</v>
      </c>
      <c r="J29" s="199" t="s">
        <v>232</v>
      </c>
      <c r="K29" s="199" t="s">
        <v>206</v>
      </c>
      <c r="L29" s="199" t="s">
        <v>206</v>
      </c>
      <c r="M29" s="199" t="s">
        <v>206</v>
      </c>
      <c r="N29" s="199" t="s">
        <v>206</v>
      </c>
      <c r="O29" s="199" t="s">
        <v>206</v>
      </c>
      <c r="P29" s="199" t="s">
        <v>206</v>
      </c>
      <c r="Q29" s="199" t="s">
        <v>206</v>
      </c>
      <c r="R29" s="199" t="s">
        <v>206</v>
      </c>
      <c r="S29" s="199" t="s">
        <v>206</v>
      </c>
      <c r="T29" s="199" t="s">
        <v>206</v>
      </c>
      <c r="U29" s="199" t="s">
        <v>206</v>
      </c>
      <c r="V29" s="199" t="s">
        <v>206</v>
      </c>
      <c r="W29" s="199" t="s">
        <v>206</v>
      </c>
      <c r="X29" s="199" t="s">
        <v>206</v>
      </c>
      <c r="Y29" s="199" t="s">
        <v>206</v>
      </c>
      <c r="Z29" s="199" t="s">
        <v>206</v>
      </c>
      <c r="AA29" s="199" t="s">
        <v>206</v>
      </c>
      <c r="AB29" s="199" t="s">
        <v>206</v>
      </c>
      <c r="AC29" s="199" t="s">
        <v>206</v>
      </c>
      <c r="AD29" s="199" t="s">
        <v>83</v>
      </c>
      <c r="AE29" s="199" t="s">
        <v>207</v>
      </c>
      <c r="AF29" s="199" t="s">
        <v>207</v>
      </c>
      <c r="AG29" s="203" t="s">
        <v>208</v>
      </c>
      <c r="AH29" s="199" t="s">
        <v>208</v>
      </c>
      <c r="AI29" s="199" t="s">
        <v>83</v>
      </c>
      <c r="AJ29" s="199" t="s">
        <v>209</v>
      </c>
      <c r="AK29" s="199" t="s">
        <v>209</v>
      </c>
      <c r="AL29" s="199" t="s">
        <v>209</v>
      </c>
      <c r="AM29" s="199" t="s">
        <v>209</v>
      </c>
      <c r="AN29" s="199" t="s">
        <v>209</v>
      </c>
      <c r="AO29" s="199" t="s">
        <v>209</v>
      </c>
      <c r="AP29" s="199" t="s">
        <v>209</v>
      </c>
      <c r="AQ29" s="199" t="s">
        <v>209</v>
      </c>
      <c r="AR29" s="199" t="s">
        <v>209</v>
      </c>
      <c r="AS29" s="199" t="s">
        <v>209</v>
      </c>
      <c r="AT29" s="199" t="s">
        <v>209</v>
      </c>
      <c r="AU29" s="199" t="s">
        <v>209</v>
      </c>
      <c r="AV29" s="199" t="s">
        <v>209</v>
      </c>
      <c r="AW29" s="199" t="s">
        <v>209</v>
      </c>
      <c r="AX29" s="199" t="s">
        <v>83</v>
      </c>
      <c r="AY29" s="199" t="s">
        <v>208</v>
      </c>
      <c r="AZ29" s="199" t="s">
        <v>208</v>
      </c>
      <c r="BA29" s="199" t="s">
        <v>208</v>
      </c>
      <c r="BB29" s="199" t="s">
        <v>208</v>
      </c>
      <c r="BC29" s="199" t="s">
        <v>208</v>
      </c>
      <c r="BD29" s="199" t="s">
        <v>208</v>
      </c>
      <c r="BE29" s="199" t="s">
        <v>208</v>
      </c>
      <c r="BF29" s="199" t="s">
        <v>208</v>
      </c>
      <c r="BG29" s="199" t="s">
        <v>208</v>
      </c>
      <c r="BH29" s="199" t="s">
        <v>208</v>
      </c>
      <c r="BI29" s="199" t="s">
        <v>208</v>
      </c>
      <c r="BJ29" s="199" t="s">
        <v>208</v>
      </c>
      <c r="BK29" s="199" t="s">
        <v>208</v>
      </c>
      <c r="BL29" s="203" t="s">
        <v>208</v>
      </c>
      <c r="BM29" s="199" t="s">
        <v>208</v>
      </c>
      <c r="BN29" s="199" t="s">
        <v>208</v>
      </c>
      <c r="BO29" s="199" t="s">
        <v>208</v>
      </c>
      <c r="BP29" s="199" t="s">
        <v>208</v>
      </c>
      <c r="BQ29" s="199" t="s">
        <v>208</v>
      </c>
      <c r="BR29" s="199" t="s">
        <v>208</v>
      </c>
      <c r="BS29" s="199" t="s">
        <v>208</v>
      </c>
      <c r="BT29" s="199" t="s">
        <v>208</v>
      </c>
      <c r="BU29" s="199" t="s">
        <v>208</v>
      </c>
      <c r="BV29" s="199" t="s">
        <v>208</v>
      </c>
      <c r="BW29" s="199" t="s">
        <v>208</v>
      </c>
      <c r="BX29" s="199" t="s">
        <v>208</v>
      </c>
      <c r="BY29" s="199" t="s">
        <v>208</v>
      </c>
      <c r="BZ29" s="199" t="s">
        <v>208</v>
      </c>
      <c r="CA29" s="199" t="s">
        <v>208</v>
      </c>
      <c r="CB29" s="199" t="s">
        <v>208</v>
      </c>
      <c r="CC29" s="199" t="s">
        <v>208</v>
      </c>
      <c r="CD29" s="199" t="s">
        <v>208</v>
      </c>
      <c r="CE29" s="199" t="s">
        <v>208</v>
      </c>
      <c r="CF29" s="199" t="s">
        <v>208</v>
      </c>
      <c r="CG29" s="199" t="s">
        <v>208</v>
      </c>
      <c r="CH29" s="199" t="s">
        <v>208</v>
      </c>
      <c r="CI29" s="199" t="s">
        <v>208</v>
      </c>
      <c r="CJ29" s="199" t="s">
        <v>208</v>
      </c>
      <c r="CK29" s="199" t="s">
        <v>208</v>
      </c>
      <c r="CL29" s="199" t="s">
        <v>208</v>
      </c>
      <c r="CM29" s="199" t="s">
        <v>208</v>
      </c>
      <c r="CN29" s="199" t="s">
        <v>208</v>
      </c>
      <c r="CO29" s="199" t="s">
        <v>208</v>
      </c>
      <c r="CP29" s="203" t="s">
        <v>208</v>
      </c>
      <c r="CQ29" s="199"/>
      <c r="CS29" s="198">
        <f t="shared" si="3"/>
        <v>28</v>
      </c>
      <c r="CT29" s="198">
        <f t="shared" si="4"/>
        <v>15</v>
      </c>
      <c r="CU29" s="198">
        <f t="shared" si="5"/>
        <v>20</v>
      </c>
    </row>
    <row r="30" spans="1:99" ht="15" customHeight="1" x14ac:dyDescent="0.25">
      <c r="A30" s="170">
        <v>21</v>
      </c>
      <c r="B30" s="170">
        <v>24308973</v>
      </c>
      <c r="C30" s="236" t="s">
        <v>179</v>
      </c>
      <c r="D30" s="199" t="s">
        <v>208</v>
      </c>
      <c r="E30" s="199" t="s">
        <v>208</v>
      </c>
      <c r="F30" s="199" t="s">
        <v>208</v>
      </c>
      <c r="G30" s="199" t="s">
        <v>208</v>
      </c>
      <c r="H30" s="199" t="s">
        <v>208</v>
      </c>
      <c r="I30" s="199" t="s">
        <v>208</v>
      </c>
      <c r="J30" s="199" t="s">
        <v>83</v>
      </c>
      <c r="K30" s="199" t="s">
        <v>208</v>
      </c>
      <c r="L30" s="199" t="s">
        <v>208</v>
      </c>
      <c r="M30" s="199" t="s">
        <v>208</v>
      </c>
      <c r="N30" s="199" t="s">
        <v>208</v>
      </c>
      <c r="O30" s="199" t="s">
        <v>208</v>
      </c>
      <c r="P30" s="199" t="s">
        <v>208</v>
      </c>
      <c r="Q30" s="199" t="s">
        <v>208</v>
      </c>
      <c r="R30" s="199" t="s">
        <v>208</v>
      </c>
      <c r="S30" s="199" t="s">
        <v>208</v>
      </c>
      <c r="T30" s="199" t="s">
        <v>208</v>
      </c>
      <c r="U30" s="199" t="s">
        <v>208</v>
      </c>
      <c r="V30" s="199" t="s">
        <v>208</v>
      </c>
      <c r="W30" s="199" t="s">
        <v>208</v>
      </c>
      <c r="X30" s="199" t="s">
        <v>208</v>
      </c>
      <c r="Y30" s="199" t="s">
        <v>208</v>
      </c>
      <c r="Z30" s="199" t="s">
        <v>208</v>
      </c>
      <c r="AA30" s="199" t="s">
        <v>208</v>
      </c>
      <c r="AB30" s="199" t="s">
        <v>208</v>
      </c>
      <c r="AC30" s="199" t="s">
        <v>208</v>
      </c>
      <c r="AD30" s="199" t="s">
        <v>208</v>
      </c>
      <c r="AE30" s="199" t="s">
        <v>208</v>
      </c>
      <c r="AF30" s="199" t="s">
        <v>208</v>
      </c>
      <c r="AG30" s="203" t="s">
        <v>208</v>
      </c>
      <c r="AH30" s="199" t="s">
        <v>208</v>
      </c>
      <c r="AI30" s="199" t="s">
        <v>83</v>
      </c>
      <c r="AJ30" s="199" t="s">
        <v>208</v>
      </c>
      <c r="AK30" s="199" t="s">
        <v>208</v>
      </c>
      <c r="AL30" s="199" t="s">
        <v>208</v>
      </c>
      <c r="AM30" s="199" t="s">
        <v>208</v>
      </c>
      <c r="AN30" s="199" t="s">
        <v>208</v>
      </c>
      <c r="AO30" s="199" t="s">
        <v>208</v>
      </c>
      <c r="AP30" s="199" t="s">
        <v>208</v>
      </c>
      <c r="AQ30" s="199" t="s">
        <v>208</v>
      </c>
      <c r="AR30" s="199" t="s">
        <v>208</v>
      </c>
      <c r="AS30" s="199" t="s">
        <v>208</v>
      </c>
      <c r="AT30" s="199" t="s">
        <v>208</v>
      </c>
      <c r="AU30" s="199" t="s">
        <v>208</v>
      </c>
      <c r="AV30" s="199" t="s">
        <v>208</v>
      </c>
      <c r="AW30" s="199" t="s">
        <v>208</v>
      </c>
      <c r="AX30" s="199" t="s">
        <v>208</v>
      </c>
      <c r="AY30" s="199" t="s">
        <v>232</v>
      </c>
      <c r="AZ30" s="199" t="s">
        <v>232</v>
      </c>
      <c r="BA30" s="199" t="s">
        <v>232</v>
      </c>
      <c r="BB30" s="199" t="s">
        <v>232</v>
      </c>
      <c r="BC30" s="199" t="s">
        <v>210</v>
      </c>
      <c r="BD30" s="199" t="s">
        <v>210</v>
      </c>
      <c r="BE30" s="199" t="s">
        <v>210</v>
      </c>
      <c r="BF30" s="199" t="s">
        <v>210</v>
      </c>
      <c r="BG30" s="199" t="s">
        <v>208</v>
      </c>
      <c r="BH30" s="199" t="s">
        <v>208</v>
      </c>
      <c r="BI30" s="199" t="s">
        <v>208</v>
      </c>
      <c r="BJ30" s="199" t="s">
        <v>208</v>
      </c>
      <c r="BK30" s="199" t="s">
        <v>208</v>
      </c>
      <c r="BL30" s="203" t="s">
        <v>208</v>
      </c>
      <c r="BM30" s="199" t="s">
        <v>208</v>
      </c>
      <c r="BN30" s="199" t="s">
        <v>208</v>
      </c>
      <c r="BO30" s="199" t="s">
        <v>208</v>
      </c>
      <c r="BP30" s="199" t="s">
        <v>208</v>
      </c>
      <c r="BQ30" s="199" t="s">
        <v>208</v>
      </c>
      <c r="BR30" s="199" t="s">
        <v>208</v>
      </c>
      <c r="BS30" s="199" t="s">
        <v>208</v>
      </c>
      <c r="BT30" s="199" t="s">
        <v>208</v>
      </c>
      <c r="BU30" s="199" t="s">
        <v>208</v>
      </c>
      <c r="BV30" s="199" t="s">
        <v>208</v>
      </c>
      <c r="BW30" s="199" t="s">
        <v>206</v>
      </c>
      <c r="BX30" s="199" t="s">
        <v>206</v>
      </c>
      <c r="BY30" s="199" t="s">
        <v>206</v>
      </c>
      <c r="BZ30" s="199" t="s">
        <v>206</v>
      </c>
      <c r="CA30" s="199" t="s">
        <v>206</v>
      </c>
      <c r="CB30" s="199" t="s">
        <v>206</v>
      </c>
      <c r="CC30" s="199" t="s">
        <v>206</v>
      </c>
      <c r="CD30" s="199" t="s">
        <v>206</v>
      </c>
      <c r="CE30" s="199" t="s">
        <v>206</v>
      </c>
      <c r="CF30" s="199" t="s">
        <v>206</v>
      </c>
      <c r="CG30" s="199" t="s">
        <v>206</v>
      </c>
      <c r="CH30" s="199" t="s">
        <v>206</v>
      </c>
      <c r="CI30" s="199" t="s">
        <v>206</v>
      </c>
      <c r="CJ30" s="199" t="s">
        <v>206</v>
      </c>
      <c r="CK30" s="199" t="s">
        <v>206</v>
      </c>
      <c r="CL30" s="199" t="s">
        <v>206</v>
      </c>
      <c r="CM30" s="199" t="s">
        <v>206</v>
      </c>
      <c r="CN30" s="199" t="s">
        <v>206</v>
      </c>
      <c r="CO30" s="199" t="s">
        <v>206</v>
      </c>
      <c r="CP30" s="203" t="s">
        <v>83</v>
      </c>
      <c r="CQ30" s="199"/>
      <c r="CS30" s="198">
        <f t="shared" si="3"/>
        <v>32</v>
      </c>
      <c r="CT30" s="198">
        <f t="shared" si="4"/>
        <v>17</v>
      </c>
      <c r="CU30" s="198">
        <f t="shared" si="5"/>
        <v>23</v>
      </c>
    </row>
    <row r="31" spans="1:99" ht="15" customHeight="1" x14ac:dyDescent="0.25">
      <c r="A31" s="170">
        <v>22</v>
      </c>
      <c r="B31" s="170">
        <v>24316431</v>
      </c>
      <c r="C31" s="236" t="s">
        <v>180</v>
      </c>
      <c r="D31" s="199" t="s">
        <v>206</v>
      </c>
      <c r="E31" s="199" t="s">
        <v>206</v>
      </c>
      <c r="F31" s="199" t="s">
        <v>206</v>
      </c>
      <c r="G31" s="199" t="s">
        <v>206</v>
      </c>
      <c r="H31" s="199" t="s">
        <v>206</v>
      </c>
      <c r="I31" s="199" t="s">
        <v>206</v>
      </c>
      <c r="J31" s="199" t="s">
        <v>206</v>
      </c>
      <c r="K31" s="199" t="s">
        <v>206</v>
      </c>
      <c r="L31" s="199" t="s">
        <v>206</v>
      </c>
      <c r="M31" s="199" t="s">
        <v>206</v>
      </c>
      <c r="N31" s="199" t="s">
        <v>83</v>
      </c>
      <c r="O31" s="199" t="s">
        <v>207</v>
      </c>
      <c r="P31" s="199" t="s">
        <v>207</v>
      </c>
      <c r="Q31" s="199" t="s">
        <v>207</v>
      </c>
      <c r="R31" s="199" t="s">
        <v>207</v>
      </c>
      <c r="S31" s="199" t="s">
        <v>208</v>
      </c>
      <c r="T31" s="199" t="s">
        <v>208</v>
      </c>
      <c r="U31" s="199" t="s">
        <v>208</v>
      </c>
      <c r="V31" s="199" t="s">
        <v>208</v>
      </c>
      <c r="W31" s="199" t="s">
        <v>208</v>
      </c>
      <c r="X31" s="199" t="s">
        <v>208</v>
      </c>
      <c r="Y31" s="199" t="s">
        <v>208</v>
      </c>
      <c r="Z31" s="199" t="s">
        <v>208</v>
      </c>
      <c r="AA31" s="199" t="s">
        <v>208</v>
      </c>
      <c r="AB31" s="199" t="s">
        <v>208</v>
      </c>
      <c r="AC31" s="199" t="s">
        <v>208</v>
      </c>
      <c r="AD31" s="199" t="s">
        <v>208</v>
      </c>
      <c r="AE31" s="199" t="s">
        <v>208</v>
      </c>
      <c r="AF31" s="199" t="s">
        <v>208</v>
      </c>
      <c r="AG31" s="203" t="s">
        <v>208</v>
      </c>
      <c r="AH31" s="199" t="s">
        <v>208</v>
      </c>
      <c r="AI31" s="199" t="s">
        <v>83</v>
      </c>
      <c r="AJ31" s="199" t="s">
        <v>208</v>
      </c>
      <c r="AK31" s="199" t="s">
        <v>208</v>
      </c>
      <c r="AL31" s="199" t="s">
        <v>208</v>
      </c>
      <c r="AM31" s="199" t="s">
        <v>208</v>
      </c>
      <c r="AN31" s="199" t="s">
        <v>208</v>
      </c>
      <c r="AO31" s="199" t="s">
        <v>208</v>
      </c>
      <c r="AP31" s="199" t="s">
        <v>208</v>
      </c>
      <c r="AQ31" s="199" t="s">
        <v>208</v>
      </c>
      <c r="AR31" s="199" t="s">
        <v>208</v>
      </c>
      <c r="AS31" s="199" t="s">
        <v>208</v>
      </c>
      <c r="AT31" s="199" t="s">
        <v>208</v>
      </c>
      <c r="AU31" s="199" t="s">
        <v>208</v>
      </c>
      <c r="AV31" s="199" t="s">
        <v>208</v>
      </c>
      <c r="AW31" s="199" t="s">
        <v>208</v>
      </c>
      <c r="AX31" s="199" t="s">
        <v>208</v>
      </c>
      <c r="AY31" s="199" t="s">
        <v>208</v>
      </c>
      <c r="AZ31" s="199" t="s">
        <v>208</v>
      </c>
      <c r="BA31" s="199" t="s">
        <v>208</v>
      </c>
      <c r="BB31" s="199" t="s">
        <v>208</v>
      </c>
      <c r="BC31" s="199" t="s">
        <v>208</v>
      </c>
      <c r="BD31" s="199" t="s">
        <v>208</v>
      </c>
      <c r="BE31" s="199" t="s">
        <v>208</v>
      </c>
      <c r="BF31" s="199" t="s">
        <v>208</v>
      </c>
      <c r="BG31" s="199" t="s">
        <v>83</v>
      </c>
      <c r="BH31" s="199" t="s">
        <v>83</v>
      </c>
      <c r="BI31" s="199" t="s">
        <v>208</v>
      </c>
      <c r="BJ31" s="199" t="s">
        <v>208</v>
      </c>
      <c r="BK31" s="199" t="s">
        <v>208</v>
      </c>
      <c r="BL31" s="203" t="s">
        <v>208</v>
      </c>
      <c r="BM31" s="199" t="s">
        <v>208</v>
      </c>
      <c r="BN31" s="199" t="s">
        <v>208</v>
      </c>
      <c r="BO31" s="199" t="s">
        <v>208</v>
      </c>
      <c r="BP31" s="199" t="s">
        <v>208</v>
      </c>
      <c r="BQ31" s="199" t="s">
        <v>208</v>
      </c>
      <c r="BR31" s="199" t="s">
        <v>208</v>
      </c>
      <c r="BS31" s="199" t="s">
        <v>208</v>
      </c>
      <c r="BT31" s="199" t="s">
        <v>208</v>
      </c>
      <c r="BU31" s="199" t="s">
        <v>208</v>
      </c>
      <c r="BV31" s="199" t="s">
        <v>208</v>
      </c>
      <c r="BW31" s="199" t="s">
        <v>208</v>
      </c>
      <c r="BX31" s="199" t="s">
        <v>208</v>
      </c>
      <c r="BY31" s="199" t="s">
        <v>208</v>
      </c>
      <c r="BZ31" s="199" t="s">
        <v>208</v>
      </c>
      <c r="CA31" s="199" t="s">
        <v>208</v>
      </c>
      <c r="CB31" s="199" t="s">
        <v>208</v>
      </c>
      <c r="CC31" s="199" t="s">
        <v>208</v>
      </c>
      <c r="CD31" s="199" t="s">
        <v>36</v>
      </c>
      <c r="CE31" s="199" t="s">
        <v>208</v>
      </c>
      <c r="CF31" s="199" t="s">
        <v>208</v>
      </c>
      <c r="CG31" s="199" t="s">
        <v>208</v>
      </c>
      <c r="CH31" s="199" t="s">
        <v>208</v>
      </c>
      <c r="CI31" s="199" t="s">
        <v>208</v>
      </c>
      <c r="CJ31" s="199" t="s">
        <v>208</v>
      </c>
      <c r="CK31" s="199" t="s">
        <v>208</v>
      </c>
      <c r="CL31" s="199" t="s">
        <v>208</v>
      </c>
      <c r="CM31" s="199" t="s">
        <v>208</v>
      </c>
      <c r="CN31" s="199" t="s">
        <v>208</v>
      </c>
      <c r="CO31" s="199" t="s">
        <v>208</v>
      </c>
      <c r="CP31" s="203" t="s">
        <v>208</v>
      </c>
      <c r="CQ31" s="199"/>
      <c r="CS31" s="198">
        <f t="shared" si="3"/>
        <v>39</v>
      </c>
      <c r="CT31" s="198">
        <f t="shared" si="4"/>
        <v>7</v>
      </c>
      <c r="CU31" s="198">
        <f t="shared" si="5"/>
        <v>10</v>
      </c>
    </row>
    <row r="32" spans="1:99" ht="15" customHeight="1" x14ac:dyDescent="0.25">
      <c r="A32" s="170">
        <v>23</v>
      </c>
      <c r="B32" s="170">
        <v>24237217</v>
      </c>
      <c r="C32" s="236" t="s">
        <v>181</v>
      </c>
      <c r="D32" s="199" t="s">
        <v>208</v>
      </c>
      <c r="E32" s="199" t="s">
        <v>208</v>
      </c>
      <c r="F32" s="199" t="s">
        <v>208</v>
      </c>
      <c r="G32" s="199" t="s">
        <v>208</v>
      </c>
      <c r="H32" s="199" t="s">
        <v>208</v>
      </c>
      <c r="I32" s="199" t="s">
        <v>208</v>
      </c>
      <c r="J32" s="199" t="s">
        <v>83</v>
      </c>
      <c r="K32" s="199" t="s">
        <v>208</v>
      </c>
      <c r="L32" s="199" t="s">
        <v>208</v>
      </c>
      <c r="M32" s="199" t="s">
        <v>208</v>
      </c>
      <c r="N32" s="199" t="s">
        <v>208</v>
      </c>
      <c r="O32" s="199" t="s">
        <v>210</v>
      </c>
      <c r="P32" s="199" t="s">
        <v>210</v>
      </c>
      <c r="Q32" s="199" t="s">
        <v>210</v>
      </c>
      <c r="R32" s="199" t="s">
        <v>210</v>
      </c>
      <c r="S32" s="199" t="s">
        <v>208</v>
      </c>
      <c r="T32" s="199" t="s">
        <v>208</v>
      </c>
      <c r="U32" s="199" t="s">
        <v>208</v>
      </c>
      <c r="V32" s="199" t="s">
        <v>208</v>
      </c>
      <c r="W32" s="199" t="s">
        <v>208</v>
      </c>
      <c r="X32" s="199" t="s">
        <v>210</v>
      </c>
      <c r="Y32" s="199" t="s">
        <v>210</v>
      </c>
      <c r="Z32" s="199" t="s">
        <v>208</v>
      </c>
      <c r="AA32" s="199" t="s">
        <v>208</v>
      </c>
      <c r="AB32" s="199" t="s">
        <v>208</v>
      </c>
      <c r="AC32" s="199" t="s">
        <v>208</v>
      </c>
      <c r="AD32" s="199" t="s">
        <v>208</v>
      </c>
      <c r="AE32" s="199" t="s">
        <v>208</v>
      </c>
      <c r="AF32" s="199" t="s">
        <v>208</v>
      </c>
      <c r="AG32" s="203" t="s">
        <v>208</v>
      </c>
      <c r="AH32" s="199" t="s">
        <v>208</v>
      </c>
      <c r="AI32" s="199" t="s">
        <v>83</v>
      </c>
      <c r="AJ32" s="199" t="s">
        <v>206</v>
      </c>
      <c r="AK32" s="199" t="s">
        <v>206</v>
      </c>
      <c r="AL32" s="199" t="s">
        <v>206</v>
      </c>
      <c r="AM32" s="199" t="s">
        <v>206</v>
      </c>
      <c r="AN32" s="199" t="s">
        <v>206</v>
      </c>
      <c r="AO32" s="199" t="s">
        <v>206</v>
      </c>
      <c r="AP32" s="199" t="s">
        <v>206</v>
      </c>
      <c r="AQ32" s="199" t="s">
        <v>206</v>
      </c>
      <c r="AR32" s="199" t="s">
        <v>206</v>
      </c>
      <c r="AS32" s="199" t="s">
        <v>206</v>
      </c>
      <c r="AT32" s="199" t="s">
        <v>206</v>
      </c>
      <c r="AU32" s="199" t="s">
        <v>206</v>
      </c>
      <c r="AV32" s="199" t="s">
        <v>206</v>
      </c>
      <c r="AW32" s="199" t="s">
        <v>206</v>
      </c>
      <c r="AX32" s="199" t="s">
        <v>206</v>
      </c>
      <c r="AY32" s="199" t="s">
        <v>206</v>
      </c>
      <c r="AZ32" s="199" t="s">
        <v>206</v>
      </c>
      <c r="BA32" s="199" t="s">
        <v>206</v>
      </c>
      <c r="BB32" s="199" t="s">
        <v>83</v>
      </c>
      <c r="BC32" s="199" t="s">
        <v>207</v>
      </c>
      <c r="BD32" s="199" t="s">
        <v>207</v>
      </c>
      <c r="BE32" s="199" t="s">
        <v>207</v>
      </c>
      <c r="BF32" s="199" t="s">
        <v>207</v>
      </c>
      <c r="BG32" s="199" t="s">
        <v>208</v>
      </c>
      <c r="BH32" s="199" t="s">
        <v>208</v>
      </c>
      <c r="BI32" s="199" t="s">
        <v>208</v>
      </c>
      <c r="BJ32" s="199" t="s">
        <v>208</v>
      </c>
      <c r="BK32" s="199" t="s">
        <v>208</v>
      </c>
      <c r="BL32" s="203" t="s">
        <v>208</v>
      </c>
      <c r="BM32" s="199" t="s">
        <v>208</v>
      </c>
      <c r="BN32" s="199" t="s">
        <v>224</v>
      </c>
      <c r="BO32" s="199" t="s">
        <v>224</v>
      </c>
      <c r="BP32" s="199" t="s">
        <v>224</v>
      </c>
      <c r="BQ32" s="199" t="s">
        <v>224</v>
      </c>
      <c r="BR32" s="199" t="s">
        <v>224</v>
      </c>
      <c r="BS32" s="199" t="s">
        <v>224</v>
      </c>
      <c r="BT32" s="199" t="s">
        <v>224</v>
      </c>
      <c r="BU32" s="199" t="s">
        <v>224</v>
      </c>
      <c r="BV32" s="199" t="s">
        <v>224</v>
      </c>
      <c r="BW32" s="199" t="s">
        <v>224</v>
      </c>
      <c r="BX32" s="199" t="s">
        <v>224</v>
      </c>
      <c r="BY32" s="199" t="s">
        <v>224</v>
      </c>
      <c r="BZ32" s="199" t="s">
        <v>224</v>
      </c>
      <c r="CA32" s="199" t="s">
        <v>224</v>
      </c>
      <c r="CB32" s="199" t="s">
        <v>224</v>
      </c>
      <c r="CC32" s="199" t="s">
        <v>224</v>
      </c>
      <c r="CD32" s="199" t="s">
        <v>224</v>
      </c>
      <c r="CE32" s="199" t="s">
        <v>224</v>
      </c>
      <c r="CF32" s="199" t="s">
        <v>224</v>
      </c>
      <c r="CG32" s="199" t="s">
        <v>224</v>
      </c>
      <c r="CH32" s="199" t="s">
        <v>224</v>
      </c>
      <c r="CI32" s="199" t="s">
        <v>224</v>
      </c>
      <c r="CJ32" s="199" t="s">
        <v>224</v>
      </c>
      <c r="CK32" s="199" t="s">
        <v>224</v>
      </c>
      <c r="CL32" s="199" t="s">
        <v>224</v>
      </c>
      <c r="CM32" s="199" t="s">
        <v>224</v>
      </c>
      <c r="CN32" s="199" t="s">
        <v>224</v>
      </c>
      <c r="CO32" s="199" t="s">
        <v>224</v>
      </c>
      <c r="CP32" s="203" t="s">
        <v>224</v>
      </c>
      <c r="CQ32" s="199"/>
      <c r="CS32" s="198">
        <f t="shared" si="3"/>
        <v>19</v>
      </c>
      <c r="CT32" s="198">
        <f t="shared" si="4"/>
        <v>11</v>
      </c>
      <c r="CU32" s="198">
        <f t="shared" si="5"/>
        <v>18</v>
      </c>
    </row>
    <row r="33" spans="1:99" ht="15" customHeight="1" x14ac:dyDescent="0.25">
      <c r="A33" s="170">
        <v>24</v>
      </c>
      <c r="B33" s="170">
        <v>24302964</v>
      </c>
      <c r="C33" s="236" t="s">
        <v>182</v>
      </c>
      <c r="D33" s="199" t="s">
        <v>208</v>
      </c>
      <c r="E33" s="199" t="s">
        <v>208</v>
      </c>
      <c r="F33" s="199" t="s">
        <v>208</v>
      </c>
      <c r="G33" s="199" t="s">
        <v>208</v>
      </c>
      <c r="H33" s="199" t="s">
        <v>208</v>
      </c>
      <c r="I33" s="199" t="s">
        <v>208</v>
      </c>
      <c r="J33" s="199" t="s">
        <v>208</v>
      </c>
      <c r="K33" s="199" t="s">
        <v>208</v>
      </c>
      <c r="L33" s="199" t="s">
        <v>208</v>
      </c>
      <c r="M33" s="199" t="s">
        <v>208</v>
      </c>
      <c r="N33" s="199" t="s">
        <v>208</v>
      </c>
      <c r="O33" s="199" t="s">
        <v>208</v>
      </c>
      <c r="P33" s="199" t="s">
        <v>208</v>
      </c>
      <c r="Q33" s="199" t="s">
        <v>208</v>
      </c>
      <c r="R33" s="199" t="s">
        <v>208</v>
      </c>
      <c r="S33" s="199" t="s">
        <v>208</v>
      </c>
      <c r="T33" s="199" t="s">
        <v>208</v>
      </c>
      <c r="U33" s="199" t="s">
        <v>208</v>
      </c>
      <c r="V33" s="199" t="s">
        <v>208</v>
      </c>
      <c r="W33" s="199" t="s">
        <v>208</v>
      </c>
      <c r="X33" s="199" t="s">
        <v>208</v>
      </c>
      <c r="Y33" s="199" t="s">
        <v>208</v>
      </c>
      <c r="Z33" s="199" t="s">
        <v>208</v>
      </c>
      <c r="AA33" s="199" t="s">
        <v>208</v>
      </c>
      <c r="AB33" s="199" t="s">
        <v>208</v>
      </c>
      <c r="AC33" s="199" t="s">
        <v>208</v>
      </c>
      <c r="AD33" s="199" t="s">
        <v>208</v>
      </c>
      <c r="AE33" s="199" t="s">
        <v>208</v>
      </c>
      <c r="AF33" s="199" t="s">
        <v>208</v>
      </c>
      <c r="AG33" s="203" t="s">
        <v>208</v>
      </c>
      <c r="AH33" s="199" t="s">
        <v>208</v>
      </c>
      <c r="AI33" s="199" t="s">
        <v>83</v>
      </c>
      <c r="AJ33" s="199" t="s">
        <v>208</v>
      </c>
      <c r="AK33" s="199" t="s">
        <v>208</v>
      </c>
      <c r="AL33" s="199" t="s">
        <v>208</v>
      </c>
      <c r="AM33" s="199" t="s">
        <v>208</v>
      </c>
      <c r="AN33" s="199" t="s">
        <v>208</v>
      </c>
      <c r="AO33" s="199" t="s">
        <v>208</v>
      </c>
      <c r="AP33" s="199" t="s">
        <v>208</v>
      </c>
      <c r="AQ33" s="199" t="s">
        <v>83</v>
      </c>
      <c r="AR33" s="199" t="s">
        <v>83</v>
      </c>
      <c r="AS33" s="199" t="s">
        <v>208</v>
      </c>
      <c r="AT33" s="199" t="s">
        <v>208</v>
      </c>
      <c r="AU33" s="199" t="s">
        <v>209</v>
      </c>
      <c r="AV33" s="199" t="s">
        <v>209</v>
      </c>
      <c r="AW33" s="199" t="s">
        <v>209</v>
      </c>
      <c r="AX33" s="199" t="s">
        <v>209</v>
      </c>
      <c r="AY33" s="199" t="s">
        <v>209</v>
      </c>
      <c r="AZ33" s="199" t="s">
        <v>208</v>
      </c>
      <c r="BA33" s="199" t="s">
        <v>83</v>
      </c>
      <c r="BB33" s="199" t="s">
        <v>208</v>
      </c>
      <c r="BC33" s="199" t="s">
        <v>208</v>
      </c>
      <c r="BD33" s="199" t="s">
        <v>208</v>
      </c>
      <c r="BE33" s="199" t="s">
        <v>208</v>
      </c>
      <c r="BF33" s="199" t="s">
        <v>208</v>
      </c>
      <c r="BG33" s="199" t="s">
        <v>208</v>
      </c>
      <c r="BH33" s="199" t="s">
        <v>208</v>
      </c>
      <c r="BI33" s="199" t="s">
        <v>208</v>
      </c>
      <c r="BJ33" s="199" t="s">
        <v>208</v>
      </c>
      <c r="BK33" s="199" t="s">
        <v>208</v>
      </c>
      <c r="BL33" s="203" t="s">
        <v>208</v>
      </c>
      <c r="BM33" s="199" t="s">
        <v>208</v>
      </c>
      <c r="BN33" s="199" t="s">
        <v>208</v>
      </c>
      <c r="BO33" s="199" t="s">
        <v>208</v>
      </c>
      <c r="BP33" s="199" t="s">
        <v>208</v>
      </c>
      <c r="BQ33" s="199" t="s">
        <v>208</v>
      </c>
      <c r="BR33" s="199" t="s">
        <v>208</v>
      </c>
      <c r="BS33" s="199" t="s">
        <v>208</v>
      </c>
      <c r="BT33" s="199" t="s">
        <v>208</v>
      </c>
      <c r="BU33" s="199" t="s">
        <v>208</v>
      </c>
      <c r="BV33" s="199" t="s">
        <v>208</v>
      </c>
      <c r="BW33" s="199" t="s">
        <v>208</v>
      </c>
      <c r="BX33" s="199" t="s">
        <v>208</v>
      </c>
      <c r="BY33" s="199" t="s">
        <v>208</v>
      </c>
      <c r="BZ33" s="199" t="s">
        <v>208</v>
      </c>
      <c r="CA33" s="199" t="s">
        <v>208</v>
      </c>
      <c r="CB33" s="199" t="s">
        <v>208</v>
      </c>
      <c r="CC33" s="199" t="s">
        <v>208</v>
      </c>
      <c r="CD33" s="199" t="s">
        <v>208</v>
      </c>
      <c r="CE33" s="199" t="s">
        <v>208</v>
      </c>
      <c r="CF33" s="199" t="s">
        <v>208</v>
      </c>
      <c r="CG33" s="199" t="s">
        <v>208</v>
      </c>
      <c r="CH33" s="199" t="s">
        <v>208</v>
      </c>
      <c r="CI33" s="199" t="s">
        <v>208</v>
      </c>
      <c r="CJ33" s="199" t="s">
        <v>208</v>
      </c>
      <c r="CK33" s="199" t="s">
        <v>208</v>
      </c>
      <c r="CL33" s="199" t="s">
        <v>210</v>
      </c>
      <c r="CM33" s="199" t="s">
        <v>208</v>
      </c>
      <c r="CN33" s="199" t="s">
        <v>208</v>
      </c>
      <c r="CO33" s="199" t="s">
        <v>208</v>
      </c>
      <c r="CP33" s="203" t="s">
        <v>208</v>
      </c>
      <c r="CQ33" s="199"/>
      <c r="CS33" s="198">
        <f t="shared" si="3"/>
        <v>44</v>
      </c>
      <c r="CT33" s="198">
        <f t="shared" si="4"/>
        <v>0</v>
      </c>
      <c r="CU33" s="198">
        <f t="shared" si="5"/>
        <v>0</v>
      </c>
    </row>
    <row r="34" spans="1:99" ht="15" customHeight="1" x14ac:dyDescent="0.25">
      <c r="A34" s="170">
        <v>25</v>
      </c>
      <c r="B34" s="170">
        <v>24323904</v>
      </c>
      <c r="C34" s="236" t="s">
        <v>183</v>
      </c>
      <c r="D34" s="199" t="s">
        <v>208</v>
      </c>
      <c r="E34" s="199" t="s">
        <v>208</v>
      </c>
      <c r="F34" s="199" t="s">
        <v>208</v>
      </c>
      <c r="G34" s="199" t="s">
        <v>208</v>
      </c>
      <c r="H34" s="199" t="s">
        <v>208</v>
      </c>
      <c r="I34" s="199" t="s">
        <v>208</v>
      </c>
      <c r="J34" s="199" t="s">
        <v>83</v>
      </c>
      <c r="K34" s="199" t="s">
        <v>208</v>
      </c>
      <c r="L34" s="199" t="s">
        <v>208</v>
      </c>
      <c r="M34" s="199" t="s">
        <v>208</v>
      </c>
      <c r="N34" s="199" t="s">
        <v>208</v>
      </c>
      <c r="O34" s="199" t="s">
        <v>208</v>
      </c>
      <c r="P34" s="199" t="s">
        <v>208</v>
      </c>
      <c r="Q34" s="199" t="s">
        <v>208</v>
      </c>
      <c r="R34" s="199" t="s">
        <v>208</v>
      </c>
      <c r="S34" s="199" t="s">
        <v>208</v>
      </c>
      <c r="T34" s="199" t="s">
        <v>208</v>
      </c>
      <c r="U34" s="199" t="s">
        <v>208</v>
      </c>
      <c r="V34" s="199" t="s">
        <v>208</v>
      </c>
      <c r="W34" s="199" t="s">
        <v>208</v>
      </c>
      <c r="X34" s="199" t="s">
        <v>208</v>
      </c>
      <c r="Y34" s="199" t="s">
        <v>208</v>
      </c>
      <c r="Z34" s="199" t="s">
        <v>208</v>
      </c>
      <c r="AA34" s="199" t="s">
        <v>208</v>
      </c>
      <c r="AB34" s="199" t="s">
        <v>208</v>
      </c>
      <c r="AC34" s="199" t="s">
        <v>208</v>
      </c>
      <c r="AD34" s="199" t="s">
        <v>83</v>
      </c>
      <c r="AE34" s="199" t="s">
        <v>208</v>
      </c>
      <c r="AF34" s="199" t="s">
        <v>208</v>
      </c>
      <c r="AG34" s="203" t="s">
        <v>208</v>
      </c>
      <c r="AH34" s="199" t="s">
        <v>208</v>
      </c>
      <c r="AI34" s="199" t="s">
        <v>83</v>
      </c>
      <c r="AJ34" s="199" t="s">
        <v>208</v>
      </c>
      <c r="AK34" s="199" t="s">
        <v>208</v>
      </c>
      <c r="AL34" s="199" t="s">
        <v>208</v>
      </c>
      <c r="AM34" s="199" t="s">
        <v>208</v>
      </c>
      <c r="AN34" s="199" t="s">
        <v>208</v>
      </c>
      <c r="AO34" s="199" t="s">
        <v>208</v>
      </c>
      <c r="AP34" s="199" t="s">
        <v>208</v>
      </c>
      <c r="AQ34" s="199" t="s">
        <v>208</v>
      </c>
      <c r="AR34" s="199" t="s">
        <v>208</v>
      </c>
      <c r="AS34" s="199" t="s">
        <v>208</v>
      </c>
      <c r="AT34" s="199" t="s">
        <v>208</v>
      </c>
      <c r="AU34" s="199" t="s">
        <v>208</v>
      </c>
      <c r="AV34" s="199" t="s">
        <v>208</v>
      </c>
      <c r="AW34" s="199" t="s">
        <v>208</v>
      </c>
      <c r="AX34" s="199" t="s">
        <v>208</v>
      </c>
      <c r="AY34" s="199" t="s">
        <v>208</v>
      </c>
      <c r="AZ34" s="199" t="s">
        <v>208</v>
      </c>
      <c r="BA34" s="199" t="s">
        <v>208</v>
      </c>
      <c r="BB34" s="199" t="s">
        <v>208</v>
      </c>
      <c r="BC34" s="199" t="s">
        <v>208</v>
      </c>
      <c r="BD34" s="199" t="s">
        <v>208</v>
      </c>
      <c r="BE34" s="199" t="s">
        <v>208</v>
      </c>
      <c r="BF34" s="199" t="s">
        <v>208</v>
      </c>
      <c r="BG34" s="199" t="s">
        <v>208</v>
      </c>
      <c r="BH34" s="199" t="s">
        <v>208</v>
      </c>
      <c r="BI34" s="199" t="s">
        <v>208</v>
      </c>
      <c r="BJ34" s="199" t="s">
        <v>208</v>
      </c>
      <c r="BK34" s="199" t="s">
        <v>208</v>
      </c>
      <c r="BL34" s="203" t="s">
        <v>208</v>
      </c>
      <c r="BM34" s="199" t="s">
        <v>208</v>
      </c>
      <c r="BN34" s="199" t="s">
        <v>208</v>
      </c>
      <c r="BO34" s="199" t="s">
        <v>208</v>
      </c>
      <c r="BP34" s="199" t="s">
        <v>208</v>
      </c>
      <c r="BQ34" s="199" t="s">
        <v>208</v>
      </c>
      <c r="BR34" s="199" t="s">
        <v>208</v>
      </c>
      <c r="BS34" s="199" t="s">
        <v>208</v>
      </c>
      <c r="BT34" s="199" t="s">
        <v>210</v>
      </c>
      <c r="BU34" s="199" t="s">
        <v>210</v>
      </c>
      <c r="BV34" s="199" t="s">
        <v>210</v>
      </c>
      <c r="BW34" s="199" t="s">
        <v>208</v>
      </c>
      <c r="BX34" s="199" t="s">
        <v>208</v>
      </c>
      <c r="BY34" s="199" t="s">
        <v>208</v>
      </c>
      <c r="BZ34" s="199" t="s">
        <v>208</v>
      </c>
      <c r="CA34" s="199" t="s">
        <v>208</v>
      </c>
      <c r="CB34" s="199" t="s">
        <v>208</v>
      </c>
      <c r="CC34" s="199" t="s">
        <v>208</v>
      </c>
      <c r="CD34" s="199" t="s">
        <v>208</v>
      </c>
      <c r="CE34" s="199" t="s">
        <v>208</v>
      </c>
      <c r="CF34" s="199" t="s">
        <v>208</v>
      </c>
      <c r="CG34" s="199" t="s">
        <v>208</v>
      </c>
      <c r="CH34" s="199" t="s">
        <v>208</v>
      </c>
      <c r="CI34" s="199" t="s">
        <v>208</v>
      </c>
      <c r="CJ34" s="199" t="s">
        <v>208</v>
      </c>
      <c r="CK34" s="199" t="s">
        <v>208</v>
      </c>
      <c r="CL34" s="199" t="s">
        <v>208</v>
      </c>
      <c r="CM34" s="199" t="s">
        <v>208</v>
      </c>
      <c r="CN34" s="199" t="s">
        <v>208</v>
      </c>
      <c r="CO34" s="199" t="s">
        <v>208</v>
      </c>
      <c r="CP34" s="203" t="s">
        <v>208</v>
      </c>
      <c r="CQ34" s="199"/>
      <c r="CS34" s="198">
        <f t="shared" si="3"/>
        <v>47</v>
      </c>
      <c r="CT34" s="198">
        <f t="shared" si="4"/>
        <v>0</v>
      </c>
      <c r="CU34" s="198">
        <f t="shared" si="5"/>
        <v>0</v>
      </c>
    </row>
    <row r="35" spans="1:99" ht="15" customHeight="1" x14ac:dyDescent="0.25">
      <c r="A35" s="170">
        <v>26</v>
      </c>
      <c r="B35" s="170">
        <v>24249594</v>
      </c>
      <c r="C35" s="236" t="s">
        <v>184</v>
      </c>
      <c r="D35" s="199" t="s">
        <v>238</v>
      </c>
      <c r="E35" s="199" t="s">
        <v>238</v>
      </c>
      <c r="F35" s="199" t="s">
        <v>238</v>
      </c>
      <c r="G35" s="199" t="s">
        <v>238</v>
      </c>
      <c r="H35" s="199" t="s">
        <v>238</v>
      </c>
      <c r="I35" s="199" t="s">
        <v>238</v>
      </c>
      <c r="J35" s="199" t="s">
        <v>238</v>
      </c>
      <c r="K35" s="199" t="s">
        <v>238</v>
      </c>
      <c r="L35" s="199" t="s">
        <v>238</v>
      </c>
      <c r="M35" s="199" t="s">
        <v>238</v>
      </c>
      <c r="N35" s="199" t="s">
        <v>238</v>
      </c>
      <c r="O35" s="199" t="s">
        <v>238</v>
      </c>
      <c r="P35" s="199" t="s">
        <v>238</v>
      </c>
      <c r="Q35" s="199" t="s">
        <v>238</v>
      </c>
      <c r="R35" s="199" t="s">
        <v>238</v>
      </c>
      <c r="S35" s="199" t="s">
        <v>238</v>
      </c>
      <c r="T35" s="199" t="s">
        <v>238</v>
      </c>
      <c r="U35" s="199" t="s">
        <v>238</v>
      </c>
      <c r="V35" s="199" t="s">
        <v>238</v>
      </c>
      <c r="W35" s="199" t="s">
        <v>238</v>
      </c>
      <c r="X35" s="199" t="s">
        <v>238</v>
      </c>
      <c r="Y35" s="199" t="s">
        <v>238</v>
      </c>
      <c r="Z35" s="199" t="s">
        <v>238</v>
      </c>
      <c r="AA35" s="199" t="s">
        <v>238</v>
      </c>
      <c r="AB35" s="199" t="s">
        <v>238</v>
      </c>
      <c r="AC35" s="199" t="s">
        <v>238</v>
      </c>
      <c r="AD35" s="199" t="s">
        <v>238</v>
      </c>
      <c r="AE35" s="199" t="s">
        <v>238</v>
      </c>
      <c r="AF35" s="199" t="s">
        <v>238</v>
      </c>
      <c r="AG35" s="203" t="s">
        <v>238</v>
      </c>
      <c r="AH35" s="199" t="s">
        <v>238</v>
      </c>
      <c r="AI35" s="199" t="s">
        <v>238</v>
      </c>
      <c r="AJ35" s="199" t="s">
        <v>238</v>
      </c>
      <c r="AK35" s="199" t="s">
        <v>238</v>
      </c>
      <c r="AL35" s="199" t="s">
        <v>238</v>
      </c>
      <c r="AM35" s="199" t="s">
        <v>238</v>
      </c>
      <c r="AN35" s="199" t="s">
        <v>238</v>
      </c>
      <c r="AO35" s="199" t="s">
        <v>238</v>
      </c>
      <c r="AP35" s="199" t="s">
        <v>238</v>
      </c>
      <c r="AQ35" s="199" t="s">
        <v>238</v>
      </c>
      <c r="AR35" s="199" t="s">
        <v>238</v>
      </c>
      <c r="AS35" s="199" t="s">
        <v>238</v>
      </c>
      <c r="AT35" s="199" t="s">
        <v>238</v>
      </c>
      <c r="AU35" s="199" t="s">
        <v>238</v>
      </c>
      <c r="AV35" s="199" t="s">
        <v>238</v>
      </c>
      <c r="AW35" s="199" t="s">
        <v>238</v>
      </c>
      <c r="AX35" s="199" t="s">
        <v>238</v>
      </c>
      <c r="AY35" s="199" t="s">
        <v>238</v>
      </c>
      <c r="AZ35" s="199" t="s">
        <v>238</v>
      </c>
      <c r="BA35" s="199" t="s">
        <v>238</v>
      </c>
      <c r="BB35" s="199" t="s">
        <v>238</v>
      </c>
      <c r="BC35" s="199" t="s">
        <v>238</v>
      </c>
      <c r="BD35" s="199" t="s">
        <v>238</v>
      </c>
      <c r="BE35" s="199" t="s">
        <v>238</v>
      </c>
      <c r="BF35" s="199" t="s">
        <v>238</v>
      </c>
      <c r="BG35" s="199" t="s">
        <v>238</v>
      </c>
      <c r="BH35" s="199" t="s">
        <v>238</v>
      </c>
      <c r="BI35" s="199" t="s">
        <v>238</v>
      </c>
      <c r="BJ35" s="199" t="s">
        <v>238</v>
      </c>
      <c r="BK35" s="199" t="s">
        <v>238</v>
      </c>
      <c r="BL35" s="203" t="s">
        <v>238</v>
      </c>
      <c r="BM35" s="199" t="s">
        <v>238</v>
      </c>
      <c r="BN35" s="199" t="s">
        <v>238</v>
      </c>
      <c r="BO35" s="199" t="s">
        <v>238</v>
      </c>
      <c r="BP35" s="199" t="s">
        <v>238</v>
      </c>
      <c r="BQ35" s="199" t="s">
        <v>238</v>
      </c>
      <c r="BR35" s="199" t="s">
        <v>238</v>
      </c>
      <c r="BS35" s="199" t="s">
        <v>238</v>
      </c>
      <c r="BT35" s="199" t="s">
        <v>238</v>
      </c>
      <c r="BU35" s="199" t="s">
        <v>238</v>
      </c>
      <c r="BV35" s="199" t="s">
        <v>238</v>
      </c>
      <c r="BW35" s="199" t="s">
        <v>238</v>
      </c>
      <c r="BX35" s="199" t="s">
        <v>238</v>
      </c>
      <c r="BY35" s="199" t="s">
        <v>238</v>
      </c>
      <c r="BZ35" s="199" t="s">
        <v>238</v>
      </c>
      <c r="CA35" s="199" t="s">
        <v>238</v>
      </c>
      <c r="CB35" s="199" t="s">
        <v>238</v>
      </c>
      <c r="CC35" s="199" t="s">
        <v>238</v>
      </c>
      <c r="CD35" s="199" t="s">
        <v>238</v>
      </c>
      <c r="CE35" s="199" t="s">
        <v>238</v>
      </c>
      <c r="CF35" s="199" t="s">
        <v>238</v>
      </c>
      <c r="CG35" s="199" t="s">
        <v>238</v>
      </c>
      <c r="CH35" s="199" t="s">
        <v>238</v>
      </c>
      <c r="CI35" s="199" t="s">
        <v>238</v>
      </c>
      <c r="CJ35" s="199" t="s">
        <v>238</v>
      </c>
      <c r="CK35" s="199" t="s">
        <v>238</v>
      </c>
      <c r="CL35" s="199" t="s">
        <v>238</v>
      </c>
      <c r="CM35" s="199" t="s">
        <v>238</v>
      </c>
      <c r="CN35" s="199" t="s">
        <v>238</v>
      </c>
      <c r="CO35" s="199" t="s">
        <v>238</v>
      </c>
      <c r="CP35" s="203" t="s">
        <v>238</v>
      </c>
      <c r="CQ35" s="199"/>
      <c r="CS35" s="198">
        <f t="shared" si="3"/>
        <v>0</v>
      </c>
      <c r="CT35" s="198">
        <f t="shared" si="4"/>
        <v>0</v>
      </c>
      <c r="CU35" s="198">
        <f t="shared" si="5"/>
        <v>0</v>
      </c>
    </row>
    <row r="36" spans="1:99" ht="15" customHeight="1" x14ac:dyDescent="0.25">
      <c r="A36" s="170">
        <v>27</v>
      </c>
      <c r="B36" s="170">
        <v>24324029</v>
      </c>
      <c r="C36" s="236" t="s">
        <v>185</v>
      </c>
      <c r="D36" s="199" t="s">
        <v>208</v>
      </c>
      <c r="E36" s="199" t="s">
        <v>208</v>
      </c>
      <c r="F36" s="199" t="s">
        <v>208</v>
      </c>
      <c r="G36" s="199" t="s">
        <v>208</v>
      </c>
      <c r="H36" s="199" t="s">
        <v>208</v>
      </c>
      <c r="I36" s="199" t="s">
        <v>208</v>
      </c>
      <c r="J36" s="199" t="s">
        <v>83</v>
      </c>
      <c r="K36" s="199" t="s">
        <v>208</v>
      </c>
      <c r="L36" s="199" t="s">
        <v>208</v>
      </c>
      <c r="M36" s="199" t="s">
        <v>208</v>
      </c>
      <c r="N36" s="199" t="s">
        <v>208</v>
      </c>
      <c r="O36" s="199" t="s">
        <v>208</v>
      </c>
      <c r="P36" s="199" t="s">
        <v>208</v>
      </c>
      <c r="Q36" s="199" t="s">
        <v>208</v>
      </c>
      <c r="R36" s="199" t="s">
        <v>208</v>
      </c>
      <c r="S36" s="199" t="s">
        <v>208</v>
      </c>
      <c r="T36" s="199" t="s">
        <v>208</v>
      </c>
      <c r="U36" s="199" t="s">
        <v>208</v>
      </c>
      <c r="V36" s="199" t="s">
        <v>208</v>
      </c>
      <c r="W36" s="199" t="s">
        <v>208</v>
      </c>
      <c r="X36" s="199" t="s">
        <v>208</v>
      </c>
      <c r="Y36" s="199" t="s">
        <v>208</v>
      </c>
      <c r="Z36" s="199" t="s">
        <v>208</v>
      </c>
      <c r="AA36" s="199" t="s">
        <v>208</v>
      </c>
      <c r="AB36" s="199" t="s">
        <v>208</v>
      </c>
      <c r="AC36" s="199" t="s">
        <v>208</v>
      </c>
      <c r="AD36" s="199" t="s">
        <v>208</v>
      </c>
      <c r="AE36" s="199" t="s">
        <v>208</v>
      </c>
      <c r="AF36" s="199" t="s">
        <v>208</v>
      </c>
      <c r="AG36" s="203" t="s">
        <v>208</v>
      </c>
      <c r="AH36" s="199" t="s">
        <v>208</v>
      </c>
      <c r="AI36" s="199" t="s">
        <v>83</v>
      </c>
      <c r="AJ36" s="199" t="s">
        <v>208</v>
      </c>
      <c r="AK36" s="199" t="s">
        <v>208</v>
      </c>
      <c r="AL36" s="199" t="s">
        <v>208</v>
      </c>
      <c r="AM36" s="199" t="s">
        <v>208</v>
      </c>
      <c r="AN36" s="199" t="s">
        <v>208</v>
      </c>
      <c r="AO36" s="199" t="s">
        <v>208</v>
      </c>
      <c r="AP36" s="199" t="s">
        <v>208</v>
      </c>
      <c r="AQ36" s="199" t="s">
        <v>208</v>
      </c>
      <c r="AR36" s="199" t="s">
        <v>208</v>
      </c>
      <c r="AS36" s="199" t="s">
        <v>208</v>
      </c>
      <c r="AT36" s="199" t="s">
        <v>208</v>
      </c>
      <c r="AU36" s="199" t="s">
        <v>208</v>
      </c>
      <c r="AV36" s="199" t="s">
        <v>208</v>
      </c>
      <c r="AW36" s="199" t="s">
        <v>208</v>
      </c>
      <c r="AX36" s="199" t="s">
        <v>208</v>
      </c>
      <c r="AY36" s="199" t="s">
        <v>208</v>
      </c>
      <c r="AZ36" s="199" t="s">
        <v>208</v>
      </c>
      <c r="BA36" s="199" t="s">
        <v>208</v>
      </c>
      <c r="BB36" s="199" t="s">
        <v>208</v>
      </c>
      <c r="BC36" s="199" t="s">
        <v>208</v>
      </c>
      <c r="BD36" s="199" t="s">
        <v>208</v>
      </c>
      <c r="BE36" s="199" t="s">
        <v>208</v>
      </c>
      <c r="BF36" s="199" t="s">
        <v>208</v>
      </c>
      <c r="BG36" s="199" t="s">
        <v>208</v>
      </c>
      <c r="BH36" s="199" t="s">
        <v>208</v>
      </c>
      <c r="BI36" s="199" t="s">
        <v>208</v>
      </c>
      <c r="BJ36" s="199" t="s">
        <v>208</v>
      </c>
      <c r="BK36" s="199" t="s">
        <v>208</v>
      </c>
      <c r="BL36" s="203" t="s">
        <v>208</v>
      </c>
      <c r="BM36" s="199" t="s">
        <v>208</v>
      </c>
      <c r="BN36" s="199" t="s">
        <v>208</v>
      </c>
      <c r="BO36" s="199" t="s">
        <v>208</v>
      </c>
      <c r="BP36" s="199" t="s">
        <v>208</v>
      </c>
      <c r="BQ36" s="199" t="s">
        <v>208</v>
      </c>
      <c r="BR36" s="199" t="s">
        <v>208</v>
      </c>
      <c r="BS36" s="199" t="s">
        <v>208</v>
      </c>
      <c r="BT36" s="199" t="s">
        <v>210</v>
      </c>
      <c r="BU36" s="199" t="s">
        <v>210</v>
      </c>
      <c r="BV36" s="199" t="s">
        <v>208</v>
      </c>
      <c r="BW36" s="199" t="s">
        <v>208</v>
      </c>
      <c r="BX36" s="199" t="s">
        <v>208</v>
      </c>
      <c r="BY36" s="199" t="s">
        <v>208</v>
      </c>
      <c r="BZ36" s="199" t="s">
        <v>208</v>
      </c>
      <c r="CA36" s="199" t="s">
        <v>208</v>
      </c>
      <c r="CB36" s="199" t="s">
        <v>208</v>
      </c>
      <c r="CC36" s="199" t="s">
        <v>208</v>
      </c>
      <c r="CD36" s="199" t="s">
        <v>208</v>
      </c>
      <c r="CE36" s="199" t="s">
        <v>208</v>
      </c>
      <c r="CF36" s="199" t="s">
        <v>208</v>
      </c>
      <c r="CG36" s="199" t="s">
        <v>208</v>
      </c>
      <c r="CH36" s="199" t="s">
        <v>208</v>
      </c>
      <c r="CI36" s="199" t="s">
        <v>208</v>
      </c>
      <c r="CJ36" s="199" t="s">
        <v>208</v>
      </c>
      <c r="CK36" s="199" t="s">
        <v>208</v>
      </c>
      <c r="CL36" s="199" t="s">
        <v>208</v>
      </c>
      <c r="CM36" s="199" t="s">
        <v>208</v>
      </c>
      <c r="CN36" s="199" t="s">
        <v>208</v>
      </c>
      <c r="CO36" s="199" t="s">
        <v>208</v>
      </c>
      <c r="CP36" s="203" t="s">
        <v>208</v>
      </c>
      <c r="CQ36" s="199"/>
      <c r="CS36" s="198">
        <f t="shared" si="3"/>
        <v>48</v>
      </c>
      <c r="CT36" s="198">
        <f t="shared" si="4"/>
        <v>0</v>
      </c>
      <c r="CU36" s="198">
        <f t="shared" si="5"/>
        <v>0</v>
      </c>
    </row>
    <row r="37" spans="1:99" ht="15" customHeight="1" x14ac:dyDescent="0.25">
      <c r="A37" s="170">
        <v>28</v>
      </c>
      <c r="B37" s="170">
        <v>24339937</v>
      </c>
      <c r="C37" s="236" t="s">
        <v>186</v>
      </c>
      <c r="D37" s="199" t="s">
        <v>208</v>
      </c>
      <c r="E37" s="199" t="s">
        <v>208</v>
      </c>
      <c r="F37" s="199" t="s">
        <v>208</v>
      </c>
      <c r="G37" s="199" t="s">
        <v>208</v>
      </c>
      <c r="H37" s="199" t="s">
        <v>208</v>
      </c>
      <c r="I37" s="199" t="s">
        <v>208</v>
      </c>
      <c r="J37" s="199" t="s">
        <v>83</v>
      </c>
      <c r="K37" s="199" t="s">
        <v>208</v>
      </c>
      <c r="L37" s="199" t="s">
        <v>208</v>
      </c>
      <c r="M37" s="199" t="s">
        <v>208</v>
      </c>
      <c r="N37" s="199" t="s">
        <v>208</v>
      </c>
      <c r="O37" s="199" t="s">
        <v>208</v>
      </c>
      <c r="P37" s="199" t="s">
        <v>208</v>
      </c>
      <c r="Q37" s="199" t="s">
        <v>208</v>
      </c>
      <c r="R37" s="199" t="s">
        <v>208</v>
      </c>
      <c r="S37" s="199" t="s">
        <v>208</v>
      </c>
      <c r="T37" s="199" t="s">
        <v>208</v>
      </c>
      <c r="U37" s="199" t="s">
        <v>208</v>
      </c>
      <c r="V37" s="199" t="s">
        <v>208</v>
      </c>
      <c r="W37" s="199" t="s">
        <v>208</v>
      </c>
      <c r="X37" s="199" t="s">
        <v>208</v>
      </c>
      <c r="Y37" s="199" t="s">
        <v>208</v>
      </c>
      <c r="Z37" s="199" t="s">
        <v>208</v>
      </c>
      <c r="AA37" s="199" t="s">
        <v>208</v>
      </c>
      <c r="AB37" s="199" t="s">
        <v>208</v>
      </c>
      <c r="AC37" s="199" t="s">
        <v>208</v>
      </c>
      <c r="AD37" s="199" t="s">
        <v>208</v>
      </c>
      <c r="AE37" s="199" t="s">
        <v>208</v>
      </c>
      <c r="AF37" s="199" t="s">
        <v>208</v>
      </c>
      <c r="AG37" s="203" t="s">
        <v>208</v>
      </c>
      <c r="AH37" s="199" t="s">
        <v>208</v>
      </c>
      <c r="AI37" s="199" t="s">
        <v>83</v>
      </c>
      <c r="AJ37" s="199" t="s">
        <v>208</v>
      </c>
      <c r="AK37" s="199" t="s">
        <v>208</v>
      </c>
      <c r="AL37" s="199" t="s">
        <v>208</v>
      </c>
      <c r="AM37" s="199" t="s">
        <v>208</v>
      </c>
      <c r="AN37" s="199" t="s">
        <v>208</v>
      </c>
      <c r="AO37" s="199" t="s">
        <v>208</v>
      </c>
      <c r="AP37" s="199" t="s">
        <v>208</v>
      </c>
      <c r="AQ37" s="199" t="s">
        <v>208</v>
      </c>
      <c r="AR37" s="199" t="s">
        <v>208</v>
      </c>
      <c r="AS37" s="199" t="s">
        <v>208</v>
      </c>
      <c r="AT37" s="199" t="s">
        <v>208</v>
      </c>
      <c r="AU37" s="199" t="s">
        <v>208</v>
      </c>
      <c r="AV37" s="199" t="s">
        <v>208</v>
      </c>
      <c r="AW37" s="199" t="s">
        <v>208</v>
      </c>
      <c r="AX37" s="199" t="s">
        <v>208</v>
      </c>
      <c r="AY37" s="199" t="s">
        <v>208</v>
      </c>
      <c r="AZ37" s="199" t="s">
        <v>208</v>
      </c>
      <c r="BA37" s="199" t="s">
        <v>208</v>
      </c>
      <c r="BB37" s="199" t="s">
        <v>208</v>
      </c>
      <c r="BC37" s="199" t="s">
        <v>208</v>
      </c>
      <c r="BD37" s="199" t="s">
        <v>208</v>
      </c>
      <c r="BE37" s="199" t="s">
        <v>208</v>
      </c>
      <c r="BF37" s="199" t="s">
        <v>208</v>
      </c>
      <c r="BG37" s="199" t="s">
        <v>208</v>
      </c>
      <c r="BH37" s="199" t="s">
        <v>208</v>
      </c>
      <c r="BI37" s="199" t="s">
        <v>208</v>
      </c>
      <c r="BJ37" s="199" t="s">
        <v>208</v>
      </c>
      <c r="BK37" s="199" t="s">
        <v>208</v>
      </c>
      <c r="BL37" s="203" t="s">
        <v>208</v>
      </c>
      <c r="BM37" s="199" t="s">
        <v>208</v>
      </c>
      <c r="BN37" s="199" t="s">
        <v>208</v>
      </c>
      <c r="BO37" s="199" t="s">
        <v>208</v>
      </c>
      <c r="BP37" s="199" t="s">
        <v>208</v>
      </c>
      <c r="BQ37" s="199" t="s">
        <v>208</v>
      </c>
      <c r="BR37" s="199" t="s">
        <v>208</v>
      </c>
      <c r="BS37" s="199" t="s">
        <v>208</v>
      </c>
      <c r="BT37" s="199" t="s">
        <v>208</v>
      </c>
      <c r="BU37" s="199" t="s">
        <v>208</v>
      </c>
      <c r="BV37" s="199" t="s">
        <v>208</v>
      </c>
      <c r="BW37" s="199" t="s">
        <v>208</v>
      </c>
      <c r="BX37" s="199" t="s">
        <v>208</v>
      </c>
      <c r="BY37" s="199" t="s">
        <v>208</v>
      </c>
      <c r="BZ37" s="199" t="s">
        <v>208</v>
      </c>
      <c r="CA37" s="199" t="s">
        <v>208</v>
      </c>
      <c r="CB37" s="199" t="s">
        <v>208</v>
      </c>
      <c r="CC37" s="199" t="s">
        <v>208</v>
      </c>
      <c r="CD37" s="199" t="s">
        <v>208</v>
      </c>
      <c r="CE37" s="199" t="s">
        <v>208</v>
      </c>
      <c r="CF37" s="199" t="s">
        <v>208</v>
      </c>
      <c r="CG37" s="199" t="s">
        <v>208</v>
      </c>
      <c r="CH37" s="199" t="s">
        <v>208</v>
      </c>
      <c r="CI37" s="199" t="s">
        <v>208</v>
      </c>
      <c r="CJ37" s="199" t="s">
        <v>208</v>
      </c>
      <c r="CK37" s="199" t="s">
        <v>208</v>
      </c>
      <c r="CL37" s="199" t="s">
        <v>208</v>
      </c>
      <c r="CM37" s="199" t="s">
        <v>208</v>
      </c>
      <c r="CN37" s="199" t="s">
        <v>208</v>
      </c>
      <c r="CO37" s="199" t="s">
        <v>208</v>
      </c>
      <c r="CP37" s="203" t="s">
        <v>208</v>
      </c>
      <c r="CQ37" s="199"/>
      <c r="CS37" s="198">
        <f t="shared" si="3"/>
        <v>48</v>
      </c>
      <c r="CT37" s="198">
        <f t="shared" si="4"/>
        <v>0</v>
      </c>
      <c r="CU37" s="198">
        <f t="shared" si="5"/>
        <v>0</v>
      </c>
    </row>
    <row r="38" spans="1:99" ht="15" customHeight="1" x14ac:dyDescent="0.25">
      <c r="A38" s="170">
        <v>29</v>
      </c>
      <c r="B38" s="170">
        <v>24339849</v>
      </c>
      <c r="C38" s="236" t="s">
        <v>187</v>
      </c>
      <c r="D38" s="199" t="s">
        <v>208</v>
      </c>
      <c r="E38" s="199" t="s">
        <v>208</v>
      </c>
      <c r="F38" s="199" t="s">
        <v>208</v>
      </c>
      <c r="G38" s="199" t="s">
        <v>208</v>
      </c>
      <c r="H38" s="199" t="s">
        <v>208</v>
      </c>
      <c r="I38" s="199" t="s">
        <v>208</v>
      </c>
      <c r="J38" s="199" t="s">
        <v>83</v>
      </c>
      <c r="K38" s="199" t="s">
        <v>208</v>
      </c>
      <c r="L38" s="199" t="s">
        <v>208</v>
      </c>
      <c r="M38" s="199" t="s">
        <v>208</v>
      </c>
      <c r="N38" s="199" t="s">
        <v>208</v>
      </c>
      <c r="O38" s="199" t="s">
        <v>208</v>
      </c>
      <c r="P38" s="199" t="s">
        <v>208</v>
      </c>
      <c r="Q38" s="199" t="s">
        <v>208</v>
      </c>
      <c r="R38" s="199" t="s">
        <v>208</v>
      </c>
      <c r="S38" s="199" t="s">
        <v>208</v>
      </c>
      <c r="T38" s="199" t="s">
        <v>208</v>
      </c>
      <c r="U38" s="199" t="s">
        <v>208</v>
      </c>
      <c r="V38" s="199" t="s">
        <v>208</v>
      </c>
      <c r="W38" s="199" t="s">
        <v>208</v>
      </c>
      <c r="X38" s="199" t="s">
        <v>208</v>
      </c>
      <c r="Y38" s="199" t="s">
        <v>208</v>
      </c>
      <c r="Z38" s="199" t="s">
        <v>208</v>
      </c>
      <c r="AA38" s="199" t="s">
        <v>208</v>
      </c>
      <c r="AB38" s="199" t="s">
        <v>208</v>
      </c>
      <c r="AC38" s="199" t="s">
        <v>208</v>
      </c>
      <c r="AD38" s="199" t="s">
        <v>208</v>
      </c>
      <c r="AE38" s="199" t="s">
        <v>208</v>
      </c>
      <c r="AF38" s="199" t="s">
        <v>208</v>
      </c>
      <c r="AG38" s="203" t="s">
        <v>208</v>
      </c>
      <c r="AH38" s="199" t="s">
        <v>208</v>
      </c>
      <c r="AI38" s="199" t="s">
        <v>83</v>
      </c>
      <c r="AJ38" s="199" t="s">
        <v>208</v>
      </c>
      <c r="AK38" s="199" t="s">
        <v>208</v>
      </c>
      <c r="AL38" s="199" t="s">
        <v>208</v>
      </c>
      <c r="AM38" s="199" t="s">
        <v>208</v>
      </c>
      <c r="AN38" s="199" t="s">
        <v>208</v>
      </c>
      <c r="AO38" s="199" t="s">
        <v>208</v>
      </c>
      <c r="AP38" s="199" t="s">
        <v>208</v>
      </c>
      <c r="AQ38" s="199" t="s">
        <v>208</v>
      </c>
      <c r="AR38" s="199" t="s">
        <v>208</v>
      </c>
      <c r="AS38" s="199" t="s">
        <v>208</v>
      </c>
      <c r="AT38" s="199" t="s">
        <v>208</v>
      </c>
      <c r="AU38" s="199" t="s">
        <v>208</v>
      </c>
      <c r="AV38" s="199" t="s">
        <v>208</v>
      </c>
      <c r="AW38" s="199" t="s">
        <v>208</v>
      </c>
      <c r="AX38" s="199" t="s">
        <v>208</v>
      </c>
      <c r="AY38" s="199" t="s">
        <v>208</v>
      </c>
      <c r="AZ38" s="199" t="s">
        <v>208</v>
      </c>
      <c r="BA38" s="199" t="s">
        <v>208</v>
      </c>
      <c r="BB38" s="199" t="s">
        <v>208</v>
      </c>
      <c r="BC38" s="199" t="s">
        <v>208</v>
      </c>
      <c r="BD38" s="199" t="s">
        <v>208</v>
      </c>
      <c r="BE38" s="199" t="s">
        <v>208</v>
      </c>
      <c r="BF38" s="199" t="s">
        <v>208</v>
      </c>
      <c r="BG38" s="199" t="s">
        <v>208</v>
      </c>
      <c r="BH38" s="199" t="s">
        <v>83</v>
      </c>
      <c r="BI38" s="199" t="s">
        <v>208</v>
      </c>
      <c r="BJ38" s="199" t="s">
        <v>208</v>
      </c>
      <c r="BK38" s="199" t="s">
        <v>208</v>
      </c>
      <c r="BL38" s="203" t="s">
        <v>208</v>
      </c>
      <c r="BM38" s="199" t="s">
        <v>208</v>
      </c>
      <c r="BN38" s="199" t="s">
        <v>208</v>
      </c>
      <c r="BO38" s="199" t="s">
        <v>208</v>
      </c>
      <c r="BP38" s="199" t="s">
        <v>208</v>
      </c>
      <c r="BQ38" s="199" t="s">
        <v>208</v>
      </c>
      <c r="BR38" s="199" t="s">
        <v>208</v>
      </c>
      <c r="BS38" s="199" t="s">
        <v>208</v>
      </c>
      <c r="BT38" s="199" t="s">
        <v>208</v>
      </c>
      <c r="BU38" s="199" t="s">
        <v>208</v>
      </c>
      <c r="BV38" s="199" t="s">
        <v>208</v>
      </c>
      <c r="BW38" s="199" t="s">
        <v>208</v>
      </c>
      <c r="BX38" s="199" t="s">
        <v>208</v>
      </c>
      <c r="BY38" s="199" t="s">
        <v>208</v>
      </c>
      <c r="BZ38" s="199" t="s">
        <v>208</v>
      </c>
      <c r="CA38" s="199" t="s">
        <v>208</v>
      </c>
      <c r="CB38" s="199" t="s">
        <v>208</v>
      </c>
      <c r="CC38" s="199" t="s">
        <v>208</v>
      </c>
      <c r="CD38" s="199" t="s">
        <v>208</v>
      </c>
      <c r="CE38" s="199" t="s">
        <v>208</v>
      </c>
      <c r="CF38" s="199" t="s">
        <v>208</v>
      </c>
      <c r="CG38" s="199" t="s">
        <v>208</v>
      </c>
      <c r="CH38" s="199" t="s">
        <v>208</v>
      </c>
      <c r="CI38" s="199" t="s">
        <v>208</v>
      </c>
      <c r="CJ38" s="199" t="s">
        <v>208</v>
      </c>
      <c r="CK38" s="199" t="s">
        <v>208</v>
      </c>
      <c r="CL38" s="199" t="s">
        <v>208</v>
      </c>
      <c r="CM38" s="199" t="s">
        <v>206</v>
      </c>
      <c r="CN38" s="199" t="s">
        <v>206</v>
      </c>
      <c r="CO38" s="199" t="s">
        <v>206</v>
      </c>
      <c r="CP38" s="203" t="s">
        <v>206</v>
      </c>
      <c r="CQ38" s="199"/>
      <c r="CS38" s="198">
        <f t="shared" si="3"/>
        <v>43</v>
      </c>
      <c r="CT38" s="198">
        <f t="shared" si="4"/>
        <v>4</v>
      </c>
      <c r="CU38" s="198">
        <f t="shared" si="5"/>
        <v>4</v>
      </c>
    </row>
    <row r="39" spans="1:99" ht="15" customHeight="1" x14ac:dyDescent="0.25">
      <c r="A39" s="170">
        <v>30</v>
      </c>
      <c r="B39" s="170">
        <v>24339828</v>
      </c>
      <c r="C39" s="236" t="s">
        <v>188</v>
      </c>
      <c r="D39" s="199" t="s">
        <v>208</v>
      </c>
      <c r="E39" s="199" t="s">
        <v>208</v>
      </c>
      <c r="F39" s="199" t="s">
        <v>208</v>
      </c>
      <c r="G39" s="199" t="s">
        <v>208</v>
      </c>
      <c r="H39" s="199" t="s">
        <v>208</v>
      </c>
      <c r="I39" s="199" t="s">
        <v>208</v>
      </c>
      <c r="J39" s="199" t="s">
        <v>83</v>
      </c>
      <c r="K39" s="199" t="s">
        <v>208</v>
      </c>
      <c r="L39" s="199" t="s">
        <v>208</v>
      </c>
      <c r="M39" s="199" t="s">
        <v>208</v>
      </c>
      <c r="N39" s="199" t="s">
        <v>208</v>
      </c>
      <c r="O39" s="199" t="s">
        <v>208</v>
      </c>
      <c r="P39" s="199" t="s">
        <v>208</v>
      </c>
      <c r="Q39" s="199" t="s">
        <v>208</v>
      </c>
      <c r="R39" s="199" t="s">
        <v>208</v>
      </c>
      <c r="S39" s="199" t="s">
        <v>208</v>
      </c>
      <c r="T39" s="199" t="s">
        <v>208</v>
      </c>
      <c r="U39" s="199" t="s">
        <v>224</v>
      </c>
      <c r="V39" s="199" t="s">
        <v>224</v>
      </c>
      <c r="W39" s="199" t="s">
        <v>224</v>
      </c>
      <c r="X39" s="199" t="s">
        <v>224</v>
      </c>
      <c r="Y39" s="199" t="s">
        <v>224</v>
      </c>
      <c r="Z39" s="199" t="s">
        <v>224</v>
      </c>
      <c r="AA39" s="199" t="s">
        <v>224</v>
      </c>
      <c r="AB39" s="199" t="s">
        <v>224</v>
      </c>
      <c r="AC39" s="199" t="s">
        <v>224</v>
      </c>
      <c r="AD39" s="199" t="s">
        <v>224</v>
      </c>
      <c r="AE39" s="199" t="s">
        <v>224</v>
      </c>
      <c r="AF39" s="199" t="s">
        <v>224</v>
      </c>
      <c r="AG39" s="203" t="s">
        <v>224</v>
      </c>
      <c r="AH39" s="199" t="s">
        <v>224</v>
      </c>
      <c r="AI39" s="199" t="s">
        <v>224</v>
      </c>
      <c r="AJ39" s="199" t="s">
        <v>224</v>
      </c>
      <c r="AK39" s="199" t="s">
        <v>224</v>
      </c>
      <c r="AL39" s="199" t="s">
        <v>224</v>
      </c>
      <c r="AM39" s="199" t="s">
        <v>224</v>
      </c>
      <c r="AN39" s="199" t="s">
        <v>224</v>
      </c>
      <c r="AO39" s="199" t="s">
        <v>224</v>
      </c>
      <c r="AP39" s="199" t="s">
        <v>224</v>
      </c>
      <c r="AQ39" s="199" t="s">
        <v>224</v>
      </c>
      <c r="AR39" s="199" t="s">
        <v>224</v>
      </c>
      <c r="AS39" s="199" t="s">
        <v>224</v>
      </c>
      <c r="AT39" s="199" t="s">
        <v>224</v>
      </c>
      <c r="AU39" s="199" t="s">
        <v>208</v>
      </c>
      <c r="AV39" s="199" t="s">
        <v>208</v>
      </c>
      <c r="AW39" s="199" t="s">
        <v>208</v>
      </c>
      <c r="AX39" s="199" t="s">
        <v>208</v>
      </c>
      <c r="AY39" s="199" t="s">
        <v>224</v>
      </c>
      <c r="AZ39" s="199" t="s">
        <v>224</v>
      </c>
      <c r="BA39" s="199" t="s">
        <v>224</v>
      </c>
      <c r="BB39" s="199" t="s">
        <v>224</v>
      </c>
      <c r="BC39" s="199" t="s">
        <v>224</v>
      </c>
      <c r="BD39" s="199" t="s">
        <v>224</v>
      </c>
      <c r="BE39" s="199" t="s">
        <v>224</v>
      </c>
      <c r="BF39" s="199" t="s">
        <v>224</v>
      </c>
      <c r="BG39" s="199" t="s">
        <v>208</v>
      </c>
      <c r="BH39" s="199" t="s">
        <v>208</v>
      </c>
      <c r="BI39" s="199" t="s">
        <v>208</v>
      </c>
      <c r="BJ39" s="199" t="s">
        <v>208</v>
      </c>
      <c r="BK39" s="199" t="s">
        <v>208</v>
      </c>
      <c r="BL39" s="203" t="s">
        <v>208</v>
      </c>
      <c r="BM39" s="199" t="s">
        <v>208</v>
      </c>
      <c r="BN39" s="199" t="s">
        <v>208</v>
      </c>
      <c r="BO39" s="199" t="s">
        <v>208</v>
      </c>
      <c r="BP39" s="199" t="s">
        <v>208</v>
      </c>
      <c r="BQ39" s="199" t="s">
        <v>208</v>
      </c>
      <c r="BR39" s="199" t="s">
        <v>208</v>
      </c>
      <c r="BS39" s="199" t="s">
        <v>208</v>
      </c>
      <c r="BT39" s="199" t="s">
        <v>208</v>
      </c>
      <c r="BU39" s="199" t="s">
        <v>208</v>
      </c>
      <c r="BV39" s="199" t="s">
        <v>208</v>
      </c>
      <c r="BW39" s="199" t="s">
        <v>208</v>
      </c>
      <c r="BX39" s="199" t="s">
        <v>83</v>
      </c>
      <c r="BY39" s="199" t="s">
        <v>208</v>
      </c>
      <c r="BZ39" s="199" t="s">
        <v>208</v>
      </c>
      <c r="CA39" s="199" t="s">
        <v>208</v>
      </c>
      <c r="CB39" s="199" t="s">
        <v>208</v>
      </c>
      <c r="CC39" s="199" t="s">
        <v>208</v>
      </c>
      <c r="CD39" s="199" t="s">
        <v>208</v>
      </c>
      <c r="CE39" s="199" t="s">
        <v>208</v>
      </c>
      <c r="CF39" s="199" t="s">
        <v>208</v>
      </c>
      <c r="CG39" s="199" t="s">
        <v>208</v>
      </c>
      <c r="CH39" s="199" t="s">
        <v>208</v>
      </c>
      <c r="CI39" s="199" t="s">
        <v>208</v>
      </c>
      <c r="CJ39" s="199" t="s">
        <v>208</v>
      </c>
      <c r="CK39" s="199" t="s">
        <v>208</v>
      </c>
      <c r="CL39" s="199" t="s">
        <v>208</v>
      </c>
      <c r="CM39" s="199" t="s">
        <v>206</v>
      </c>
      <c r="CN39" s="199" t="s">
        <v>206</v>
      </c>
      <c r="CO39" s="199" t="s">
        <v>206</v>
      </c>
      <c r="CP39" s="203" t="s">
        <v>206</v>
      </c>
      <c r="CQ39" s="199"/>
      <c r="CS39" s="198">
        <f t="shared" si="3"/>
        <v>26</v>
      </c>
      <c r="CT39" s="198">
        <f t="shared" si="4"/>
        <v>4</v>
      </c>
      <c r="CU39" s="198">
        <f t="shared" si="5"/>
        <v>4</v>
      </c>
    </row>
    <row r="40" spans="1:99" s="204" customFormat="1" ht="20.100000000000001" customHeight="1" x14ac:dyDescent="0.25">
      <c r="A40" s="261" t="s">
        <v>157</v>
      </c>
      <c r="B40" s="261"/>
      <c r="C40" s="262"/>
      <c r="AG40" s="205"/>
      <c r="BL40" s="205"/>
      <c r="CP40" s="205"/>
      <c r="CR40" s="231"/>
    </row>
    <row r="41" spans="1:99" ht="15" customHeight="1" x14ac:dyDescent="0.25">
      <c r="A41" s="170">
        <v>31</v>
      </c>
      <c r="B41" s="170">
        <v>24368985</v>
      </c>
      <c r="C41" s="236" t="s">
        <v>203</v>
      </c>
      <c r="D41" s="199"/>
      <c r="E41" s="199"/>
      <c r="F41" s="199"/>
      <c r="G41" s="199"/>
      <c r="H41" s="199"/>
      <c r="I41" s="199"/>
      <c r="J41" s="199"/>
      <c r="K41" s="199"/>
      <c r="L41" s="199"/>
      <c r="M41" s="199"/>
      <c r="N41" s="199"/>
      <c r="O41" s="199"/>
      <c r="P41" s="199"/>
      <c r="Q41" s="199"/>
      <c r="R41" s="199"/>
      <c r="S41" s="199" t="s">
        <v>208</v>
      </c>
      <c r="T41" s="199" t="s">
        <v>208</v>
      </c>
      <c r="U41" s="199" t="s">
        <v>208</v>
      </c>
      <c r="V41" s="199" t="s">
        <v>208</v>
      </c>
      <c r="W41" s="199" t="s">
        <v>208</v>
      </c>
      <c r="X41" s="199" t="s">
        <v>208</v>
      </c>
      <c r="Y41" s="199" t="s">
        <v>208</v>
      </c>
      <c r="Z41" s="199" t="s">
        <v>208</v>
      </c>
      <c r="AA41" s="199" t="s">
        <v>208</v>
      </c>
      <c r="AB41" s="199" t="s">
        <v>208</v>
      </c>
      <c r="AC41" s="199" t="s">
        <v>208</v>
      </c>
      <c r="AD41" s="199" t="s">
        <v>208</v>
      </c>
      <c r="AE41" s="199" t="s">
        <v>208</v>
      </c>
      <c r="AF41" s="199" t="s">
        <v>208</v>
      </c>
      <c r="AG41" s="203" t="s">
        <v>210</v>
      </c>
      <c r="AH41" s="199" t="s">
        <v>208</v>
      </c>
      <c r="AI41" s="199" t="s">
        <v>83</v>
      </c>
      <c r="AJ41" s="199" t="s">
        <v>208</v>
      </c>
      <c r="AK41" s="199"/>
      <c r="AL41" s="199"/>
      <c r="AM41" s="199"/>
      <c r="AN41" s="199"/>
      <c r="AO41" s="199"/>
      <c r="AP41" s="199"/>
      <c r="AQ41" s="199"/>
      <c r="AR41" s="199"/>
      <c r="AS41" s="199"/>
      <c r="AT41" s="199"/>
      <c r="AU41" s="199"/>
      <c r="AV41" s="199"/>
      <c r="AW41" s="199"/>
      <c r="AX41" s="199"/>
      <c r="AY41" s="199"/>
      <c r="AZ41" s="199"/>
      <c r="BA41" s="199"/>
      <c r="BB41" s="199"/>
      <c r="BC41" s="199"/>
      <c r="BD41" s="199"/>
      <c r="BE41" s="199"/>
      <c r="BF41" s="199"/>
      <c r="BG41" s="199"/>
      <c r="BH41" s="199"/>
      <c r="BI41" s="199"/>
      <c r="BJ41" s="199"/>
      <c r="BK41" s="199"/>
      <c r="BL41" s="203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203"/>
      <c r="CQ41" s="199"/>
      <c r="CS41" s="198">
        <f>COUNTIFS($D41:$CQ41,"",$D$5:$CQ$5,"&lt;&gt;"&amp;"A*",$D$3:$CQ$3,"&lt;&gt;")+COUNTIFS($D41:$CQ41,"X",$D$5:$CQ$5,"&lt;&gt;"&amp;"A*",$D$3:$CQ$3,"&lt;&gt;")+COUNTIFS($D41:$CQ41,"O",$D$5:$CQ$5,"&lt;&gt;"&amp;"A*",$D$3:$CQ$3,"&lt;&gt;")-COUNTIFS($D41:$CQ41,"X",$D$5:$CQ$5,"=GF",$D$3:$CQ$3,"&lt;&gt;")-COUNTIFS($D41:$CQ41,"O",$D$5:$CQ$5,"=GF",$D$3:$CQ$3,"&lt;&gt;")+COUNTIFS($D41:$CQ41,"E",$D$5:$CQ$5,"&lt;&gt;"&amp;"A*",$D$3:$CQ$3,"&lt;&gt;")+COUNTIFS($D41:$CQ41,"V",$D$5:$CQ$5,"&lt;&gt;"&amp;"A*",$D$3:$CQ$3,"&lt;&gt;")+COUNTIFS($D41:$CQ41,"FB",$D$5:$CQ$5,"&lt;&gt;"&amp;"A*",$D$3:$CQ$3,"&lt;&gt;")+COUNTIFS($D41:$CQ41,"T",$D$5:$CQ$5,"&lt;&gt;"&amp;"A*",$D$3:$CQ$3,"&lt;&gt;")+COUNTIFS($D41:$CQ41,"T-DA",$D$5:$CQ$5,"&lt;&gt;"&amp;"A*",$D$3:$CQ$3,"&lt;&gt;")</f>
        <v>54</v>
      </c>
      <c r="CT41" s="198">
        <f>COUNTIFS($D41:$CQ41,"U",$D$5:$CQ$5,"&lt;&gt;"&amp;"A*",$D$3:$CQ$3,"&lt;&gt;")+COUNTIFS($D41:$CQ41,"SU",$D$5:$CQ$5,"&lt;&gt;"&amp;"A*",$D$3:$CQ$3,"&lt;&gt;")+COUNTIFS($D41:$CQ41,"ZU",$D$5:$CQ$5,"&lt;&gt;"&amp;"A*",$D$3:$CQ$3,"&lt;&gt;")+COUNTIFS($D41:$CQ41,"AZV",$D$5:$CQ$5,"&lt;&gt;"&amp;"A*",$D$3:$CQ$3,"&lt;&gt;")</f>
        <v>0</v>
      </c>
      <c r="CU41" s="198">
        <f>COUNTIFS($D41:$CQ41,"U",$D$3:$CQ$3,"&lt;&gt;")+COUNTIFS($D41:$CQ41,"SU",$D$3:$CQ$3,"&lt;&gt;")+COUNTIFS($D41:$CQ41,"ZU",$D$3:$CQ$3,"&lt;&gt;")+COUNTIFS($D41:$CQ41,"AZV",$D$3:$CQ$3,"&lt;&gt;")</f>
        <v>0</v>
      </c>
    </row>
    <row r="42" spans="1:99" ht="15" customHeight="1" x14ac:dyDescent="0.25">
      <c r="A42" s="170">
        <v>32</v>
      </c>
      <c r="B42" s="170">
        <v>24369063</v>
      </c>
      <c r="C42" s="236" t="s">
        <v>204</v>
      </c>
      <c r="D42" s="199"/>
      <c r="E42" s="199"/>
      <c r="F42" s="199"/>
      <c r="G42" s="199"/>
      <c r="H42" s="199"/>
      <c r="I42" s="199"/>
      <c r="J42" s="199"/>
      <c r="K42" s="199"/>
      <c r="L42" s="199"/>
      <c r="M42" s="199"/>
      <c r="N42" s="199"/>
      <c r="O42" s="199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  <c r="AA42" s="199"/>
      <c r="AB42" s="199"/>
      <c r="AC42" s="199"/>
      <c r="AD42" s="199"/>
      <c r="AE42" s="199"/>
      <c r="AF42" s="199"/>
      <c r="AG42" s="203"/>
      <c r="AH42" s="199"/>
      <c r="AI42" s="199"/>
      <c r="AJ42" s="199"/>
      <c r="AK42" s="199"/>
      <c r="AL42" s="199"/>
      <c r="AM42" s="199"/>
      <c r="AN42" s="199"/>
      <c r="AO42" s="199"/>
      <c r="AP42" s="199"/>
      <c r="AQ42" s="199" t="s">
        <v>208</v>
      </c>
      <c r="AR42" s="199" t="s">
        <v>208</v>
      </c>
      <c r="AS42" s="199" t="s">
        <v>208</v>
      </c>
      <c r="AT42" s="199" t="s">
        <v>208</v>
      </c>
      <c r="AU42" s="199" t="s">
        <v>208</v>
      </c>
      <c r="AV42" s="199" t="s">
        <v>208</v>
      </c>
      <c r="AW42" s="199" t="s">
        <v>208</v>
      </c>
      <c r="AX42" s="199" t="s">
        <v>208</v>
      </c>
      <c r="AY42" s="199" t="s">
        <v>208</v>
      </c>
      <c r="AZ42" s="199" t="s">
        <v>208</v>
      </c>
      <c r="BA42" s="199" t="s">
        <v>208</v>
      </c>
      <c r="BB42" s="199" t="s">
        <v>208</v>
      </c>
      <c r="BC42" s="199" t="s">
        <v>208</v>
      </c>
      <c r="BD42" s="199" t="s">
        <v>208</v>
      </c>
      <c r="BE42" s="199" t="s">
        <v>208</v>
      </c>
      <c r="BF42" s="199" t="s">
        <v>208</v>
      </c>
      <c r="BG42" s="199"/>
      <c r="BH42" s="199"/>
      <c r="BI42" s="199"/>
      <c r="BJ42" s="199"/>
      <c r="BK42" s="199"/>
      <c r="BL42" s="203"/>
      <c r="BM42" s="199"/>
      <c r="BN42" s="199"/>
      <c r="BO42" s="199"/>
      <c r="BP42" s="199"/>
      <c r="BQ42" s="199"/>
      <c r="BR42" s="199"/>
      <c r="BS42" s="199"/>
      <c r="BT42" s="199"/>
      <c r="BU42" s="199"/>
      <c r="BV42" s="199"/>
      <c r="BW42" s="199"/>
      <c r="BX42" s="199"/>
      <c r="BY42" s="199"/>
      <c r="BZ42" s="199"/>
      <c r="CA42" s="199"/>
      <c r="CB42" s="199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199"/>
      <c r="CO42" s="199"/>
      <c r="CP42" s="203"/>
      <c r="CQ42" s="199"/>
      <c r="CS42" s="198">
        <f>COUNTIFS($D42:$CQ42,"",$D$5:$CQ$5,"&lt;&gt;"&amp;"A*",$D$3:$CQ$3,"&lt;&gt;")+COUNTIFS($D42:$CQ42,"X",$D$5:$CQ$5,"&lt;&gt;"&amp;"A*",$D$3:$CQ$3,"&lt;&gt;")+COUNTIFS($D42:$CQ42,"O",$D$5:$CQ$5,"&lt;&gt;"&amp;"A*",$D$3:$CQ$3,"&lt;&gt;")-COUNTIFS($D42:$CQ42,"X",$D$5:$CQ$5,"=GF",$D$3:$CQ$3,"&lt;&gt;")-COUNTIFS($D42:$CQ42,"O",$D$5:$CQ$5,"=GF",$D$3:$CQ$3,"&lt;&gt;")+COUNTIFS($D42:$CQ42,"E",$D$5:$CQ$5,"&lt;&gt;"&amp;"A*",$D$3:$CQ$3,"&lt;&gt;")+COUNTIFS($D42:$CQ42,"V",$D$5:$CQ$5,"&lt;&gt;"&amp;"A*",$D$3:$CQ$3,"&lt;&gt;")+COUNTIFS($D42:$CQ42,"FB",$D$5:$CQ$5,"&lt;&gt;"&amp;"A*",$D$3:$CQ$3,"&lt;&gt;")+COUNTIFS($D42:$CQ42,"T",$D$5:$CQ$5,"&lt;&gt;"&amp;"A*",$D$3:$CQ$3,"&lt;&gt;")+COUNTIFS($D42:$CQ42,"T-DA",$D$5:$CQ$5,"&lt;&gt;"&amp;"A*",$D$3:$CQ$3,"&lt;&gt;")</f>
        <v>55</v>
      </c>
      <c r="CT42" s="198">
        <f>COUNTIFS($D42:$CQ42,"U",$D$5:$CQ$5,"&lt;&gt;"&amp;"A*",$D$3:$CQ$3,"&lt;&gt;")+COUNTIFS($D42:$CQ42,"SU",$D$5:$CQ$5,"&lt;&gt;"&amp;"A*",$D$3:$CQ$3,"&lt;&gt;")+COUNTIFS($D42:$CQ42,"ZU",$D$5:$CQ$5,"&lt;&gt;"&amp;"A*",$D$3:$CQ$3,"&lt;&gt;")+COUNTIFS($D42:$CQ42,"AZV",$D$5:$CQ$5,"&lt;&gt;"&amp;"A*",$D$3:$CQ$3,"&lt;&gt;")</f>
        <v>0</v>
      </c>
      <c r="CU42" s="198">
        <f>COUNTIFS($D42:$CQ42,"U",$D$3:$CQ$3,"&lt;&gt;")+COUNTIFS($D42:$CQ42,"SU",$D$3:$CQ$3,"&lt;&gt;")+COUNTIFS($D42:$CQ42,"ZU",$D$3:$CQ$3,"&lt;&gt;")+COUNTIFS($D42:$CQ42,"AZV",$D$3:$CQ$3,"&lt;&gt;")</f>
        <v>0</v>
      </c>
    </row>
    <row r="43" spans="1:99" ht="15" customHeight="1" x14ac:dyDescent="0.25">
      <c r="A43" s="170">
        <v>33</v>
      </c>
      <c r="B43" s="170">
        <v>24370247</v>
      </c>
      <c r="C43" s="236" t="s">
        <v>205</v>
      </c>
      <c r="D43" s="199"/>
      <c r="E43" s="199"/>
      <c r="F43" s="199"/>
      <c r="G43" s="199"/>
      <c r="H43" s="199"/>
      <c r="I43" s="199"/>
      <c r="J43" s="199"/>
      <c r="K43" s="199"/>
      <c r="L43" s="199"/>
      <c r="M43" s="199"/>
      <c r="N43" s="199"/>
      <c r="O43" s="199"/>
      <c r="P43" s="199"/>
      <c r="Q43" s="199"/>
      <c r="R43" s="199"/>
      <c r="S43" s="199"/>
      <c r="T43" s="199"/>
      <c r="U43" s="199"/>
      <c r="V43" s="199"/>
      <c r="W43" s="199"/>
      <c r="X43" s="199"/>
      <c r="Y43" s="199"/>
      <c r="Z43" s="199"/>
      <c r="AA43" s="199"/>
      <c r="AB43" s="199"/>
      <c r="AC43" s="199"/>
      <c r="AD43" s="199"/>
      <c r="AE43" s="199"/>
      <c r="AF43" s="199"/>
      <c r="AG43" s="203"/>
      <c r="AH43" s="199"/>
      <c r="AI43" s="199"/>
      <c r="AJ43" s="199"/>
      <c r="AK43" s="199"/>
      <c r="AL43" s="199"/>
      <c r="AM43" s="199"/>
      <c r="AN43" s="199"/>
      <c r="AO43" s="199"/>
      <c r="AP43" s="199"/>
      <c r="AQ43" s="199" t="s">
        <v>208</v>
      </c>
      <c r="AR43" s="199" t="s">
        <v>208</v>
      </c>
      <c r="AS43" s="199" t="s">
        <v>208</v>
      </c>
      <c r="AT43" s="199" t="s">
        <v>208</v>
      </c>
      <c r="AU43" s="199" t="s">
        <v>208</v>
      </c>
      <c r="AV43" s="199" t="s">
        <v>208</v>
      </c>
      <c r="AW43" s="199" t="s">
        <v>208</v>
      </c>
      <c r="AX43" s="199" t="s">
        <v>208</v>
      </c>
      <c r="AY43" s="199" t="s">
        <v>208</v>
      </c>
      <c r="AZ43" s="199" t="s">
        <v>208</v>
      </c>
      <c r="BA43" s="199" t="s">
        <v>208</v>
      </c>
      <c r="BB43" s="199" t="s">
        <v>208</v>
      </c>
      <c r="BC43" s="199" t="s">
        <v>208</v>
      </c>
      <c r="BD43" s="199" t="s">
        <v>208</v>
      </c>
      <c r="BE43" s="199" t="s">
        <v>208</v>
      </c>
      <c r="BF43" s="199" t="s">
        <v>208</v>
      </c>
      <c r="BG43" s="199"/>
      <c r="BH43" s="199"/>
      <c r="BI43" s="199"/>
      <c r="BJ43" s="199"/>
      <c r="BK43" s="199"/>
      <c r="BL43" s="203"/>
      <c r="BM43" s="199"/>
      <c r="BN43" s="199"/>
      <c r="BO43" s="199"/>
      <c r="BP43" s="199"/>
      <c r="BQ43" s="199"/>
      <c r="BR43" s="199"/>
      <c r="BS43" s="199"/>
      <c r="BT43" s="199"/>
      <c r="BU43" s="199"/>
      <c r="BV43" s="199"/>
      <c r="BW43" s="199"/>
      <c r="BX43" s="199"/>
      <c r="BY43" s="199"/>
      <c r="BZ43" s="199"/>
      <c r="CA43" s="199"/>
      <c r="CB43" s="199"/>
      <c r="CC43" s="199"/>
      <c r="CD43" s="199"/>
      <c r="CE43" s="199"/>
      <c r="CF43" s="199"/>
      <c r="CG43" s="199"/>
      <c r="CH43" s="199"/>
      <c r="CI43" s="199"/>
      <c r="CJ43" s="199"/>
      <c r="CK43" s="199"/>
      <c r="CL43" s="199"/>
      <c r="CM43" s="199"/>
      <c r="CN43" s="199"/>
      <c r="CO43" s="199"/>
      <c r="CP43" s="203"/>
      <c r="CQ43" s="199"/>
      <c r="CS43" s="198">
        <f>COUNTIFS($D43:$CQ43,"",$D$5:$CQ$5,"&lt;&gt;"&amp;"A*",$D$3:$CQ$3,"&lt;&gt;")+COUNTIFS($D43:$CQ43,"X",$D$5:$CQ$5,"&lt;&gt;"&amp;"A*",$D$3:$CQ$3,"&lt;&gt;")+COUNTIFS($D43:$CQ43,"O",$D$5:$CQ$5,"&lt;&gt;"&amp;"A*",$D$3:$CQ$3,"&lt;&gt;")-COUNTIFS($D43:$CQ43,"X",$D$5:$CQ$5,"=GF",$D$3:$CQ$3,"&lt;&gt;")-COUNTIFS($D43:$CQ43,"O",$D$5:$CQ$5,"=GF",$D$3:$CQ$3,"&lt;&gt;")+COUNTIFS($D43:$CQ43,"E",$D$5:$CQ$5,"&lt;&gt;"&amp;"A*",$D$3:$CQ$3,"&lt;&gt;")+COUNTIFS($D43:$CQ43,"V",$D$5:$CQ$5,"&lt;&gt;"&amp;"A*",$D$3:$CQ$3,"&lt;&gt;")+COUNTIFS($D43:$CQ43,"FB",$D$5:$CQ$5,"&lt;&gt;"&amp;"A*",$D$3:$CQ$3,"&lt;&gt;")+COUNTIFS($D43:$CQ43,"T",$D$5:$CQ$5,"&lt;&gt;"&amp;"A*",$D$3:$CQ$3,"&lt;&gt;")+COUNTIFS($D43:$CQ43,"T-DA",$D$5:$CQ$5,"&lt;&gt;"&amp;"A*",$D$3:$CQ$3,"&lt;&gt;")</f>
        <v>55</v>
      </c>
      <c r="CT43" s="198">
        <f>COUNTIFS($D43:$CQ43,"U",$D$5:$CQ$5,"&lt;&gt;"&amp;"A*",$D$3:$CQ$3,"&lt;&gt;")+COUNTIFS($D43:$CQ43,"SU",$D$5:$CQ$5,"&lt;&gt;"&amp;"A*",$D$3:$CQ$3,"&lt;&gt;")+COUNTIFS($D43:$CQ43,"ZU",$D$5:$CQ$5,"&lt;&gt;"&amp;"A*",$D$3:$CQ$3,"&lt;&gt;")+COUNTIFS($D43:$CQ43,"AZV",$D$5:$CQ$5,"&lt;&gt;"&amp;"A*",$D$3:$CQ$3,"&lt;&gt;")</f>
        <v>0</v>
      </c>
      <c r="CU43" s="198">
        <f>COUNTIFS($D43:$CQ43,"U",$D$3:$CQ$3,"&lt;&gt;")+COUNTIFS($D43:$CQ43,"SU",$D$3:$CQ$3,"&lt;&gt;")+COUNTIFS($D43:$CQ43,"ZU",$D$3:$CQ$3,"&lt;&gt;")+COUNTIFS($D43:$CQ43,"AZV",$D$3:$CQ$3,"&lt;&gt;")</f>
        <v>0</v>
      </c>
    </row>
    <row r="44" spans="1:99" ht="15" customHeight="1" x14ac:dyDescent="0.25">
      <c r="A44" s="170">
        <v>34</v>
      </c>
      <c r="B44" s="170">
        <v>24339710</v>
      </c>
      <c r="C44" s="241" t="s">
        <v>226</v>
      </c>
      <c r="D44" s="199"/>
      <c r="E44" s="199"/>
      <c r="F44" s="199"/>
      <c r="G44" s="199"/>
      <c r="H44" s="199"/>
      <c r="I44" s="199"/>
      <c r="J44" s="199"/>
      <c r="K44" s="199"/>
      <c r="L44" s="199"/>
      <c r="M44" s="199"/>
      <c r="N44" s="199"/>
      <c r="O44" s="199"/>
      <c r="P44" s="199"/>
      <c r="Q44" s="199"/>
      <c r="R44" s="199"/>
      <c r="S44" s="199"/>
      <c r="T44" s="199"/>
      <c r="U44" s="199"/>
      <c r="V44" s="199"/>
      <c r="W44" s="199"/>
      <c r="X44" s="199"/>
      <c r="Y44" s="199"/>
      <c r="Z44" s="199"/>
      <c r="AA44" s="199"/>
      <c r="AB44" s="199"/>
      <c r="AC44" s="199"/>
      <c r="AD44" s="199"/>
      <c r="AE44" s="199"/>
      <c r="AF44" s="199"/>
      <c r="AG44" s="203"/>
      <c r="AH44" s="199"/>
      <c r="AI44" s="199"/>
      <c r="AJ44" s="199"/>
      <c r="AK44" s="199"/>
      <c r="AL44" s="199"/>
      <c r="AM44" s="199"/>
      <c r="AN44" s="199"/>
      <c r="AO44" s="199"/>
      <c r="AP44" s="199"/>
      <c r="AQ44" s="199"/>
      <c r="AR44" s="199"/>
      <c r="AS44" s="199"/>
      <c r="AT44" s="199"/>
      <c r="AU44" s="199"/>
      <c r="AV44" s="199"/>
      <c r="AW44" s="199"/>
      <c r="AX44" s="199"/>
      <c r="AY44" s="199"/>
      <c r="AZ44" s="199"/>
      <c r="BA44" s="199"/>
      <c r="BB44" s="199"/>
      <c r="BC44" s="199"/>
      <c r="BD44" s="199"/>
      <c r="BE44" s="199"/>
      <c r="BF44" s="199"/>
      <c r="BG44" s="199"/>
      <c r="BH44" s="199"/>
      <c r="BI44" s="199"/>
      <c r="BJ44" s="199" t="s">
        <v>208</v>
      </c>
      <c r="BK44" s="199" t="s">
        <v>208</v>
      </c>
      <c r="BL44" s="203" t="s">
        <v>208</v>
      </c>
      <c r="BM44" s="199" t="s">
        <v>208</v>
      </c>
      <c r="BN44" s="199" t="s">
        <v>208</v>
      </c>
      <c r="BO44" s="199" t="s">
        <v>208</v>
      </c>
      <c r="BP44" s="199" t="s">
        <v>208</v>
      </c>
      <c r="BQ44" s="199" t="s">
        <v>208</v>
      </c>
      <c r="BR44" s="199" t="s">
        <v>208</v>
      </c>
      <c r="BS44" s="199" t="s">
        <v>208</v>
      </c>
      <c r="BT44" s="199" t="s">
        <v>208</v>
      </c>
      <c r="BU44" s="199" t="s">
        <v>208</v>
      </c>
      <c r="BV44" s="199" t="s">
        <v>208</v>
      </c>
      <c r="BW44" s="199" t="s">
        <v>208</v>
      </c>
      <c r="BX44" s="199" t="s">
        <v>208</v>
      </c>
      <c r="BY44" s="199" t="s">
        <v>208</v>
      </c>
      <c r="BZ44" s="199" t="s">
        <v>208</v>
      </c>
      <c r="CA44" s="199" t="s">
        <v>208</v>
      </c>
      <c r="CB44" s="199"/>
      <c r="CC44" s="199"/>
      <c r="CD44" s="199"/>
      <c r="CE44" s="199"/>
      <c r="CF44" s="199"/>
      <c r="CG44" s="199"/>
      <c r="CH44" s="199"/>
      <c r="CI44" s="199"/>
      <c r="CJ44" s="199"/>
      <c r="CK44" s="199"/>
      <c r="CL44" s="199"/>
      <c r="CM44" s="199"/>
      <c r="CN44" s="199"/>
      <c r="CO44" s="199"/>
      <c r="CP44" s="203"/>
      <c r="CQ44" s="199"/>
      <c r="CS44" s="198">
        <f>COUNTIFS($D44:$CQ44,"",$D$5:$CQ$5,"&lt;&gt;"&amp;"A*",$D$3:$CQ$3,"&lt;&gt;")+COUNTIFS($D44:$CQ44,"X",$D$5:$CQ$5,"&lt;&gt;"&amp;"A*",$D$3:$CQ$3,"&lt;&gt;")+COUNTIFS($D44:$CQ44,"O",$D$5:$CQ$5,"&lt;&gt;"&amp;"A*",$D$3:$CQ$3,"&lt;&gt;")-COUNTIFS($D44:$CQ44,"X",$D$5:$CQ$5,"=GF",$D$3:$CQ$3,"&lt;&gt;")-COUNTIFS($D44:$CQ44,"O",$D$5:$CQ$5,"=GF",$D$3:$CQ$3,"&lt;&gt;")+COUNTIFS($D44:$CQ44,"E",$D$5:$CQ$5,"&lt;&gt;"&amp;"A*",$D$3:$CQ$3,"&lt;&gt;")+COUNTIFS($D44:$CQ44,"V",$D$5:$CQ$5,"&lt;&gt;"&amp;"A*",$D$3:$CQ$3,"&lt;&gt;")+COUNTIFS($D44:$CQ44,"FB",$D$5:$CQ$5,"&lt;&gt;"&amp;"A*",$D$3:$CQ$3,"&lt;&gt;")+COUNTIFS($D44:$CQ44,"T",$D$5:$CQ$5,"&lt;&gt;"&amp;"A*",$D$3:$CQ$3,"&lt;&gt;")+COUNTIFS($D44:$CQ44,"T-DA",$D$5:$CQ$5,"&lt;&gt;"&amp;"A*",$D$3:$CQ$3,"&lt;&gt;")</f>
        <v>55</v>
      </c>
      <c r="CT44" s="198">
        <f>COUNTIFS($D44:$CQ44,"U",$D$5:$CQ$5,"&lt;&gt;"&amp;"A*",$D$3:$CQ$3,"&lt;&gt;")+COUNTIFS($D44:$CQ44,"SU",$D$5:$CQ$5,"&lt;&gt;"&amp;"A*",$D$3:$CQ$3,"&lt;&gt;")+COUNTIFS($D44:$CQ44,"ZU",$D$5:$CQ$5,"&lt;&gt;"&amp;"A*",$D$3:$CQ$3,"&lt;&gt;")+COUNTIFS($D44:$CQ44,"AZV",$D$5:$CQ$5,"&lt;&gt;"&amp;"A*",$D$3:$CQ$3,"&lt;&gt;")</f>
        <v>0</v>
      </c>
      <c r="CU44" s="198">
        <f>COUNTIFS($D44:$CQ44,"U",$D$3:$CQ$3,"&lt;&gt;")+COUNTIFS($D44:$CQ44,"SU",$D$3:$CQ$3,"&lt;&gt;")+COUNTIFS($D44:$CQ44,"ZU",$D$3:$CQ$3,"&lt;&gt;")+COUNTIFS($D44:$CQ44,"AZV",$D$3:$CQ$3,"&lt;&gt;")</f>
        <v>0</v>
      </c>
    </row>
    <row r="45" spans="1:99" ht="15" customHeight="1" x14ac:dyDescent="0.25">
      <c r="A45" s="170">
        <v>35</v>
      </c>
      <c r="B45" s="170">
        <v>24341275</v>
      </c>
      <c r="C45" s="236" t="s">
        <v>227</v>
      </c>
      <c r="D45" s="199"/>
      <c r="E45" s="199"/>
      <c r="F45" s="199"/>
      <c r="G45" s="199"/>
      <c r="H45" s="199"/>
      <c r="I45" s="199"/>
      <c r="J45" s="199"/>
      <c r="K45" s="199"/>
      <c r="L45" s="199"/>
      <c r="M45" s="199"/>
      <c r="N45" s="199"/>
      <c r="O45" s="199"/>
      <c r="P45" s="199"/>
      <c r="Q45" s="199"/>
      <c r="R45" s="199"/>
      <c r="S45" s="199"/>
      <c r="T45" s="199"/>
      <c r="U45" s="199"/>
      <c r="V45" s="199"/>
      <c r="W45" s="199"/>
      <c r="X45" s="199"/>
      <c r="Y45" s="199"/>
      <c r="Z45" s="199"/>
      <c r="AA45" s="199"/>
      <c r="AB45" s="199"/>
      <c r="AC45" s="199"/>
      <c r="AD45" s="199"/>
      <c r="AE45" s="199"/>
      <c r="AF45" s="199"/>
      <c r="AG45" s="203"/>
      <c r="AH45" s="199"/>
      <c r="AI45" s="199"/>
      <c r="AJ45" s="199"/>
      <c r="AK45" s="199"/>
      <c r="AL45" s="199"/>
      <c r="AM45" s="199"/>
      <c r="AN45" s="199"/>
      <c r="AO45" s="199"/>
      <c r="AP45" s="199"/>
      <c r="AQ45" s="199"/>
      <c r="AR45" s="199"/>
      <c r="AS45" s="199"/>
      <c r="AT45" s="199"/>
      <c r="AU45" s="199"/>
      <c r="AV45" s="199"/>
      <c r="AW45" s="199"/>
      <c r="AX45" s="199"/>
      <c r="AY45" s="199"/>
      <c r="AZ45" s="199"/>
      <c r="BA45" s="199"/>
      <c r="BB45" s="199"/>
      <c r="BC45" s="199"/>
      <c r="BD45" s="199"/>
      <c r="BE45" s="199"/>
      <c r="BF45" s="199"/>
      <c r="BG45" s="199"/>
      <c r="BH45" s="199"/>
      <c r="BI45" s="199"/>
      <c r="BJ45" s="199"/>
      <c r="BK45" s="199"/>
      <c r="BL45" s="203"/>
      <c r="BM45" s="199"/>
      <c r="BN45" s="199"/>
      <c r="BO45" s="199"/>
      <c r="BP45" s="199" t="s">
        <v>208</v>
      </c>
      <c r="BQ45" s="199" t="s">
        <v>208</v>
      </c>
      <c r="BR45" s="199" t="s">
        <v>208</v>
      </c>
      <c r="BS45" s="199" t="s">
        <v>208</v>
      </c>
      <c r="BT45" s="199" t="s">
        <v>208</v>
      </c>
      <c r="BU45" s="199" t="s">
        <v>208</v>
      </c>
      <c r="BV45" s="199" t="s">
        <v>208</v>
      </c>
      <c r="BW45" s="199" t="s">
        <v>208</v>
      </c>
      <c r="BX45" s="199" t="s">
        <v>208</v>
      </c>
      <c r="BY45" s="199" t="s">
        <v>208</v>
      </c>
      <c r="BZ45" s="199" t="s">
        <v>208</v>
      </c>
      <c r="CA45" s="199" t="s">
        <v>208</v>
      </c>
      <c r="CB45" s="199" t="s">
        <v>208</v>
      </c>
      <c r="CC45" s="199" t="s">
        <v>208</v>
      </c>
      <c r="CD45" s="199" t="s">
        <v>208</v>
      </c>
      <c r="CE45" s="199" t="s">
        <v>207</v>
      </c>
      <c r="CF45" s="199" t="s">
        <v>208</v>
      </c>
      <c r="CG45" s="199" t="s">
        <v>208</v>
      </c>
      <c r="CH45" s="199" t="s">
        <v>208</v>
      </c>
      <c r="CI45" s="199" t="s">
        <v>208</v>
      </c>
      <c r="CJ45" s="199" t="s">
        <v>208</v>
      </c>
      <c r="CK45" s="199" t="s">
        <v>208</v>
      </c>
      <c r="CL45" s="199" t="s">
        <v>208</v>
      </c>
      <c r="CM45" s="199" t="s">
        <v>208</v>
      </c>
      <c r="CN45" s="199" t="s">
        <v>208</v>
      </c>
      <c r="CO45" s="199" t="s">
        <v>208</v>
      </c>
      <c r="CP45" s="203" t="s">
        <v>208</v>
      </c>
      <c r="CQ45" s="199"/>
      <c r="CS45" s="198">
        <f>COUNTIFS($D45:$CQ45,"",$D$5:$CQ$5,"&lt;&gt;"&amp;"A*",$D$3:$CQ$3,"&lt;&gt;")+COUNTIFS($D45:$CQ45,"X",$D$5:$CQ$5,"&lt;&gt;"&amp;"A*",$D$3:$CQ$3,"&lt;&gt;")+COUNTIFS($D45:$CQ45,"O",$D$5:$CQ$5,"&lt;&gt;"&amp;"A*",$D$3:$CQ$3,"&lt;&gt;")-COUNTIFS($D45:$CQ45,"X",$D$5:$CQ$5,"=GF",$D$3:$CQ$3,"&lt;&gt;")-COUNTIFS($D45:$CQ45,"O",$D$5:$CQ$5,"=GF",$D$3:$CQ$3,"&lt;&gt;")+COUNTIFS($D45:$CQ45,"E",$D$5:$CQ$5,"&lt;&gt;"&amp;"A*",$D$3:$CQ$3,"&lt;&gt;")+COUNTIFS($D45:$CQ45,"V",$D$5:$CQ$5,"&lt;&gt;"&amp;"A*",$D$3:$CQ$3,"&lt;&gt;")+COUNTIFS($D45:$CQ45,"FB",$D$5:$CQ$5,"&lt;&gt;"&amp;"A*",$D$3:$CQ$3,"&lt;&gt;")+COUNTIFS($D45:$CQ45,"T",$D$5:$CQ$5,"&lt;&gt;"&amp;"A*",$D$3:$CQ$3,"&lt;&gt;")+COUNTIFS($D45:$CQ45,"T-DA",$D$5:$CQ$5,"&lt;&gt;"&amp;"A*",$D$3:$CQ$3,"&lt;&gt;")</f>
        <v>52</v>
      </c>
      <c r="CT45" s="198">
        <f>COUNTIFS($D45:$CQ45,"U",$D$5:$CQ$5,"&lt;&gt;"&amp;"A*",$D$3:$CQ$3,"&lt;&gt;")+COUNTIFS($D45:$CQ45,"SU",$D$5:$CQ$5,"&lt;&gt;"&amp;"A*",$D$3:$CQ$3,"&lt;&gt;")+COUNTIFS($D45:$CQ45,"ZU",$D$5:$CQ$5,"&lt;&gt;"&amp;"A*",$D$3:$CQ$3,"&lt;&gt;")+COUNTIFS($D45:$CQ45,"AZV",$D$5:$CQ$5,"&lt;&gt;"&amp;"A*",$D$3:$CQ$3,"&lt;&gt;")</f>
        <v>0</v>
      </c>
      <c r="CU45" s="198">
        <f>COUNTIFS($D45:$CQ45,"U",$D$3:$CQ$3,"&lt;&gt;")+COUNTIFS($D45:$CQ45,"SU",$D$3:$CQ$3,"&lt;&gt;")+COUNTIFS($D45:$CQ45,"ZU",$D$3:$CQ$3,"&lt;&gt;")+COUNTIFS($D45:$CQ45,"AZV",$D$3:$CQ$3,"&lt;&gt;")</f>
        <v>0</v>
      </c>
    </row>
    <row r="46" spans="1:99" s="204" customFormat="1" ht="20.100000000000001" customHeight="1" x14ac:dyDescent="0.25">
      <c r="A46" s="261" t="s">
        <v>212</v>
      </c>
      <c r="B46" s="261"/>
      <c r="C46" s="261"/>
      <c r="AG46" s="205"/>
      <c r="BL46" s="205"/>
      <c r="CP46" s="205"/>
      <c r="CR46" s="231"/>
    </row>
    <row r="47" spans="1:99" s="223" customFormat="1" ht="15" customHeight="1" x14ac:dyDescent="0.25">
      <c r="A47" s="222"/>
      <c r="B47" s="222"/>
      <c r="C47" s="219" t="s">
        <v>213</v>
      </c>
      <c r="D47" s="223">
        <f t="shared" ref="D47:AI47" si="6">IF(D$5&lt;&gt;"",COUNTIF(D$8:D$40,"X")+COUNTIF(D$8:D$40,"E")+COUNTIFS(D$8:D$40,"",$B$8:$B$40,"&lt;&gt;")+COUNTIF(D$8:D$40,"V")+COUNTIF(D$8:D$40,"T")+COUNTIF(D$8:D$40,"T-DA"),"")</f>
        <v>16</v>
      </c>
      <c r="E47" s="223">
        <f t="shared" si="6"/>
        <v>15</v>
      </c>
      <c r="F47" s="223">
        <f t="shared" si="6"/>
        <v>13</v>
      </c>
      <c r="G47" s="223">
        <f t="shared" si="6"/>
        <v>14</v>
      </c>
      <c r="H47" s="223">
        <f t="shared" si="6"/>
        <v>14</v>
      </c>
      <c r="I47" s="223">
        <f t="shared" si="6"/>
        <v>14</v>
      </c>
      <c r="J47" s="223">
        <f t="shared" si="6"/>
        <v>2</v>
      </c>
      <c r="K47" s="223">
        <f t="shared" si="6"/>
        <v>17</v>
      </c>
      <c r="L47" s="223">
        <f t="shared" si="6"/>
        <v>16</v>
      </c>
      <c r="M47" s="223">
        <f t="shared" si="6"/>
        <v>17</v>
      </c>
      <c r="N47" s="223">
        <f t="shared" si="6"/>
        <v>17</v>
      </c>
      <c r="O47" s="223">
        <f t="shared" si="6"/>
        <v>16</v>
      </c>
      <c r="P47" s="223">
        <f t="shared" si="6"/>
        <v>15</v>
      </c>
      <c r="Q47" s="223">
        <f t="shared" si="6"/>
        <v>15</v>
      </c>
      <c r="R47" s="223">
        <f t="shared" si="6"/>
        <v>16</v>
      </c>
      <c r="S47" s="223">
        <f t="shared" si="6"/>
        <v>19</v>
      </c>
      <c r="T47" s="223">
        <f t="shared" si="6"/>
        <v>18</v>
      </c>
      <c r="U47" s="223">
        <f t="shared" si="6"/>
        <v>19</v>
      </c>
      <c r="V47" s="223">
        <f t="shared" si="6"/>
        <v>19</v>
      </c>
      <c r="W47" s="223">
        <f t="shared" si="6"/>
        <v>17</v>
      </c>
      <c r="X47" s="223">
        <f t="shared" si="6"/>
        <v>14</v>
      </c>
      <c r="Y47" s="223">
        <f t="shared" si="6"/>
        <v>15</v>
      </c>
      <c r="Z47" s="223">
        <f t="shared" si="6"/>
        <v>14</v>
      </c>
      <c r="AA47" s="223">
        <f t="shared" si="6"/>
        <v>17</v>
      </c>
      <c r="AB47" s="223">
        <f t="shared" si="6"/>
        <v>16</v>
      </c>
      <c r="AC47" s="223">
        <f t="shared" si="6"/>
        <v>18</v>
      </c>
      <c r="AD47" s="223">
        <f t="shared" si="6"/>
        <v>18</v>
      </c>
      <c r="AE47" s="223">
        <f t="shared" si="6"/>
        <v>20</v>
      </c>
      <c r="AF47" s="223">
        <f t="shared" si="6"/>
        <v>20</v>
      </c>
      <c r="AG47" s="224">
        <f t="shared" si="6"/>
        <v>24</v>
      </c>
      <c r="AH47" s="223">
        <f t="shared" si="6"/>
        <v>24</v>
      </c>
      <c r="AI47" s="223">
        <f t="shared" si="6"/>
        <v>0</v>
      </c>
      <c r="AJ47" s="223">
        <f t="shared" ref="AJ47:BO47" si="7">IF(AJ$5&lt;&gt;"",COUNTIF(AJ$8:AJ$40,"X")+COUNTIF(AJ$8:AJ$40,"E")+COUNTIFS(AJ$8:AJ$40,"",$B$8:$B$40,"&lt;&gt;")+COUNTIF(AJ$8:AJ$40,"V")+COUNTIF(AJ$8:AJ$40,"T")+COUNTIF(AJ$8:AJ$40,"T-DA"),"")</f>
        <v>21</v>
      </c>
      <c r="AK47" s="223">
        <f t="shared" si="7"/>
        <v>21</v>
      </c>
      <c r="AL47" s="223">
        <f t="shared" si="7"/>
        <v>21</v>
      </c>
      <c r="AM47" s="223">
        <f t="shared" si="7"/>
        <v>19</v>
      </c>
      <c r="AN47" s="223">
        <f t="shared" si="7"/>
        <v>17</v>
      </c>
      <c r="AO47" s="223">
        <f t="shared" si="7"/>
        <v>18</v>
      </c>
      <c r="AP47" s="223">
        <f t="shared" si="7"/>
        <v>18</v>
      </c>
      <c r="AQ47" s="223">
        <f t="shared" si="7"/>
        <v>18</v>
      </c>
      <c r="AR47" s="223">
        <f t="shared" si="7"/>
        <v>18</v>
      </c>
      <c r="AS47" s="223">
        <f t="shared" si="7"/>
        <v>17</v>
      </c>
      <c r="AT47" s="223">
        <f t="shared" si="7"/>
        <v>17</v>
      </c>
      <c r="AU47" s="223">
        <f t="shared" si="7"/>
        <v>21</v>
      </c>
      <c r="AV47" s="223">
        <f t="shared" si="7"/>
        <v>18</v>
      </c>
      <c r="AW47" s="223">
        <f t="shared" si="7"/>
        <v>18</v>
      </c>
      <c r="AX47" s="223">
        <f t="shared" si="7"/>
        <v>19</v>
      </c>
      <c r="AY47" s="223">
        <f t="shared" si="7"/>
        <v>18</v>
      </c>
      <c r="AZ47" s="223">
        <f t="shared" si="7"/>
        <v>16</v>
      </c>
      <c r="BA47" s="223">
        <f t="shared" si="7"/>
        <v>17</v>
      </c>
      <c r="BB47" s="223">
        <f t="shared" si="7"/>
        <v>18</v>
      </c>
      <c r="BC47" s="223">
        <f t="shared" si="7"/>
        <v>20</v>
      </c>
      <c r="BD47" s="223">
        <f t="shared" si="7"/>
        <v>19</v>
      </c>
      <c r="BE47" s="223">
        <f t="shared" si="7"/>
        <v>19</v>
      </c>
      <c r="BF47" s="223">
        <f t="shared" si="7"/>
        <v>20</v>
      </c>
      <c r="BG47" s="223">
        <f t="shared" si="7"/>
        <v>18</v>
      </c>
      <c r="BH47" s="223">
        <f t="shared" si="7"/>
        <v>19</v>
      </c>
      <c r="BI47" s="223">
        <f t="shared" si="7"/>
        <v>22</v>
      </c>
      <c r="BJ47" s="223">
        <f t="shared" si="7"/>
        <v>22</v>
      </c>
      <c r="BK47" s="223">
        <f t="shared" si="7"/>
        <v>22</v>
      </c>
      <c r="BL47" s="224">
        <f t="shared" si="7"/>
        <v>21</v>
      </c>
      <c r="BM47" s="223">
        <f t="shared" si="7"/>
        <v>20</v>
      </c>
      <c r="BN47" s="223">
        <f t="shared" si="7"/>
        <v>19</v>
      </c>
      <c r="BO47" s="223">
        <f t="shared" si="7"/>
        <v>19</v>
      </c>
      <c r="BP47" s="223">
        <f t="shared" ref="BP47:CQ47" si="8">IF(BP$5&lt;&gt;"",COUNTIF(BP$8:BP$40,"X")+COUNTIF(BP$8:BP$40,"E")+COUNTIFS(BP$8:BP$40,"",$B$8:$B$40,"&lt;&gt;")+COUNTIF(BP$8:BP$40,"V")+COUNTIF(BP$8:BP$40,"T")+COUNTIF(BP$8:BP$40,"T-DA"),"")</f>
        <v>20</v>
      </c>
      <c r="BQ47" s="223">
        <f t="shared" si="8"/>
        <v>20</v>
      </c>
      <c r="BR47" s="223">
        <f t="shared" si="8"/>
        <v>20</v>
      </c>
      <c r="BS47" s="223">
        <f t="shared" si="8"/>
        <v>19</v>
      </c>
      <c r="BT47" s="223">
        <f t="shared" si="8"/>
        <v>17</v>
      </c>
      <c r="BU47" s="223">
        <f t="shared" si="8"/>
        <v>16</v>
      </c>
      <c r="BV47" s="223">
        <f t="shared" si="8"/>
        <v>18</v>
      </c>
      <c r="BW47" s="223">
        <f t="shared" si="8"/>
        <v>20</v>
      </c>
      <c r="BX47" s="223">
        <f t="shared" si="8"/>
        <v>19</v>
      </c>
      <c r="BY47" s="223">
        <f t="shared" si="8"/>
        <v>18</v>
      </c>
      <c r="BZ47" s="223">
        <f t="shared" si="8"/>
        <v>17</v>
      </c>
      <c r="CA47" s="223">
        <f t="shared" si="8"/>
        <v>17</v>
      </c>
      <c r="CB47" s="223">
        <f t="shared" si="8"/>
        <v>15</v>
      </c>
      <c r="CC47" s="223">
        <f t="shared" si="8"/>
        <v>14</v>
      </c>
      <c r="CD47" s="223">
        <f t="shared" si="8"/>
        <v>15</v>
      </c>
      <c r="CE47" s="223">
        <f t="shared" si="8"/>
        <v>17</v>
      </c>
      <c r="CF47" s="223">
        <f t="shared" si="8"/>
        <v>17</v>
      </c>
      <c r="CG47" s="223">
        <f t="shared" si="8"/>
        <v>17</v>
      </c>
      <c r="CH47" s="223">
        <f t="shared" si="8"/>
        <v>16</v>
      </c>
      <c r="CI47" s="223">
        <f t="shared" si="8"/>
        <v>14</v>
      </c>
      <c r="CJ47" s="223">
        <f t="shared" si="8"/>
        <v>15</v>
      </c>
      <c r="CK47" s="223">
        <f t="shared" si="8"/>
        <v>17</v>
      </c>
      <c r="CL47" s="223">
        <f t="shared" si="8"/>
        <v>16</v>
      </c>
      <c r="CM47" s="223">
        <f t="shared" si="8"/>
        <v>16</v>
      </c>
      <c r="CN47" s="223">
        <f t="shared" si="8"/>
        <v>16</v>
      </c>
      <c r="CO47" s="223">
        <f t="shared" si="8"/>
        <v>16</v>
      </c>
      <c r="CP47" s="224">
        <f t="shared" si="8"/>
        <v>15</v>
      </c>
      <c r="CQ47" s="223" t="str">
        <f t="shared" si="8"/>
        <v/>
      </c>
      <c r="CR47" s="233"/>
    </row>
    <row r="48" spans="1:99" s="220" customFormat="1" ht="15" customHeight="1" x14ac:dyDescent="0.25">
      <c r="A48" s="218"/>
      <c r="B48" s="218"/>
      <c r="C48" s="219" t="s">
        <v>214</v>
      </c>
      <c r="D48" s="220">
        <f t="shared" ref="D48:AI48" si="9">IF(D$5&lt;&gt;"",COUNTIF(D$8:D$40,"Kr")+COUNTIF(D$8:D$40,"KrDU"),"")</f>
        <v>3</v>
      </c>
      <c r="E48" s="220">
        <f t="shared" si="9"/>
        <v>4</v>
      </c>
      <c r="F48" s="220">
        <f t="shared" si="9"/>
        <v>5</v>
      </c>
      <c r="G48" s="220">
        <f t="shared" si="9"/>
        <v>3</v>
      </c>
      <c r="H48" s="220">
        <f t="shared" si="9"/>
        <v>3</v>
      </c>
      <c r="I48" s="220">
        <f t="shared" si="9"/>
        <v>3</v>
      </c>
      <c r="J48" s="220">
        <f t="shared" si="9"/>
        <v>2</v>
      </c>
      <c r="K48" s="220">
        <f t="shared" si="9"/>
        <v>2</v>
      </c>
      <c r="L48" s="220">
        <f t="shared" si="9"/>
        <v>2</v>
      </c>
      <c r="M48" s="220">
        <f t="shared" si="9"/>
        <v>2</v>
      </c>
      <c r="N48" s="220">
        <f t="shared" si="9"/>
        <v>2</v>
      </c>
      <c r="O48" s="220">
        <f t="shared" si="9"/>
        <v>2</v>
      </c>
      <c r="P48" s="220">
        <f t="shared" si="9"/>
        <v>2</v>
      </c>
      <c r="Q48" s="220">
        <f t="shared" si="9"/>
        <v>2</v>
      </c>
      <c r="R48" s="220">
        <f t="shared" si="9"/>
        <v>1</v>
      </c>
      <c r="S48" s="220">
        <f t="shared" si="9"/>
        <v>2</v>
      </c>
      <c r="T48" s="220">
        <f t="shared" si="9"/>
        <v>2</v>
      </c>
      <c r="U48" s="220">
        <f t="shared" si="9"/>
        <v>3</v>
      </c>
      <c r="V48" s="220">
        <f t="shared" si="9"/>
        <v>3</v>
      </c>
      <c r="W48" s="220">
        <f t="shared" si="9"/>
        <v>3</v>
      </c>
      <c r="X48" s="220">
        <f t="shared" si="9"/>
        <v>3</v>
      </c>
      <c r="Y48" s="220">
        <f t="shared" si="9"/>
        <v>3</v>
      </c>
      <c r="Z48" s="220">
        <f t="shared" si="9"/>
        <v>3</v>
      </c>
      <c r="AA48" s="220">
        <f t="shared" si="9"/>
        <v>3</v>
      </c>
      <c r="AB48" s="220">
        <f t="shared" si="9"/>
        <v>3</v>
      </c>
      <c r="AC48" s="220">
        <f t="shared" si="9"/>
        <v>4</v>
      </c>
      <c r="AD48" s="220">
        <f t="shared" si="9"/>
        <v>3</v>
      </c>
      <c r="AE48" s="220">
        <f t="shared" si="9"/>
        <v>3</v>
      </c>
      <c r="AF48" s="220">
        <f t="shared" si="9"/>
        <v>3</v>
      </c>
      <c r="AG48" s="221">
        <f t="shared" si="9"/>
        <v>2</v>
      </c>
      <c r="AH48" s="220">
        <f t="shared" si="9"/>
        <v>2</v>
      </c>
      <c r="AI48" s="220">
        <f t="shared" si="9"/>
        <v>2</v>
      </c>
      <c r="AJ48" s="220">
        <f t="shared" ref="AJ48:BO48" si="10">IF(AJ$5&lt;&gt;"",COUNTIF(AJ$8:AJ$40,"Kr")+COUNTIF(AJ$8:AJ$40,"KrDU"),"")</f>
        <v>2</v>
      </c>
      <c r="AK48" s="220">
        <f t="shared" si="10"/>
        <v>2</v>
      </c>
      <c r="AL48" s="220">
        <f t="shared" si="10"/>
        <v>2</v>
      </c>
      <c r="AM48" s="220">
        <f t="shared" si="10"/>
        <v>2</v>
      </c>
      <c r="AN48" s="220">
        <f t="shared" si="10"/>
        <v>2</v>
      </c>
      <c r="AO48" s="220">
        <f t="shared" si="10"/>
        <v>2</v>
      </c>
      <c r="AP48" s="220">
        <f t="shared" si="10"/>
        <v>2</v>
      </c>
      <c r="AQ48" s="220">
        <f t="shared" si="10"/>
        <v>2</v>
      </c>
      <c r="AR48" s="220">
        <f t="shared" si="10"/>
        <v>2</v>
      </c>
      <c r="AS48" s="220">
        <f t="shared" si="10"/>
        <v>2</v>
      </c>
      <c r="AT48" s="220">
        <f t="shared" si="10"/>
        <v>2</v>
      </c>
      <c r="AU48" s="220">
        <f t="shared" si="10"/>
        <v>0</v>
      </c>
      <c r="AV48" s="220">
        <f t="shared" si="10"/>
        <v>0</v>
      </c>
      <c r="AW48" s="220">
        <f t="shared" si="10"/>
        <v>0</v>
      </c>
      <c r="AX48" s="220">
        <f t="shared" si="10"/>
        <v>1</v>
      </c>
      <c r="AY48" s="220">
        <f t="shared" si="10"/>
        <v>2</v>
      </c>
      <c r="AZ48" s="220">
        <f t="shared" si="10"/>
        <v>2</v>
      </c>
      <c r="BA48" s="220">
        <f t="shared" si="10"/>
        <v>2</v>
      </c>
      <c r="BB48" s="220">
        <f t="shared" si="10"/>
        <v>2</v>
      </c>
      <c r="BC48" s="220">
        <f t="shared" si="10"/>
        <v>2</v>
      </c>
      <c r="BD48" s="220">
        <f t="shared" si="10"/>
        <v>2</v>
      </c>
      <c r="BE48" s="220">
        <f t="shared" si="10"/>
        <v>2</v>
      </c>
      <c r="BF48" s="220">
        <f t="shared" si="10"/>
        <v>2</v>
      </c>
      <c r="BG48" s="220">
        <f t="shared" si="10"/>
        <v>2</v>
      </c>
      <c r="BH48" s="220">
        <f t="shared" si="10"/>
        <v>1</v>
      </c>
      <c r="BI48" s="220">
        <f t="shared" si="10"/>
        <v>0</v>
      </c>
      <c r="BJ48" s="220">
        <f t="shared" si="10"/>
        <v>0</v>
      </c>
      <c r="BK48" s="220">
        <f t="shared" si="10"/>
        <v>0</v>
      </c>
      <c r="BL48" s="221">
        <f t="shared" si="10"/>
        <v>0</v>
      </c>
      <c r="BM48" s="220">
        <f t="shared" si="10"/>
        <v>0</v>
      </c>
      <c r="BN48" s="220">
        <f t="shared" si="10"/>
        <v>1</v>
      </c>
      <c r="BO48" s="220">
        <f t="shared" si="10"/>
        <v>1</v>
      </c>
      <c r="BP48" s="220">
        <f t="shared" ref="BP48:CQ48" si="11">IF(BP$5&lt;&gt;"",COUNTIF(BP$8:BP$40,"Kr")+COUNTIF(BP$8:BP$40,"KrDU"),"")</f>
        <v>1</v>
      </c>
      <c r="BQ48" s="220">
        <f t="shared" si="11"/>
        <v>1</v>
      </c>
      <c r="BR48" s="220">
        <f t="shared" si="11"/>
        <v>1</v>
      </c>
      <c r="BS48" s="220">
        <f t="shared" si="11"/>
        <v>1</v>
      </c>
      <c r="BT48" s="220">
        <f t="shared" si="11"/>
        <v>1</v>
      </c>
      <c r="BU48" s="220">
        <f t="shared" si="11"/>
        <v>2</v>
      </c>
      <c r="BV48" s="220">
        <f t="shared" si="11"/>
        <v>1</v>
      </c>
      <c r="BW48" s="220">
        <f t="shared" si="11"/>
        <v>1</v>
      </c>
      <c r="BX48" s="220">
        <f t="shared" si="11"/>
        <v>1</v>
      </c>
      <c r="BY48" s="220">
        <f t="shared" si="11"/>
        <v>1</v>
      </c>
      <c r="BZ48" s="220">
        <f t="shared" si="11"/>
        <v>1</v>
      </c>
      <c r="CA48" s="220">
        <f t="shared" si="11"/>
        <v>1</v>
      </c>
      <c r="CB48" s="220">
        <f t="shared" si="11"/>
        <v>1</v>
      </c>
      <c r="CC48" s="220">
        <f t="shared" si="11"/>
        <v>1</v>
      </c>
      <c r="CD48" s="220">
        <f t="shared" si="11"/>
        <v>1</v>
      </c>
      <c r="CE48" s="220">
        <f t="shared" si="11"/>
        <v>1</v>
      </c>
      <c r="CF48" s="220">
        <f t="shared" si="11"/>
        <v>1</v>
      </c>
      <c r="CG48" s="220">
        <f t="shared" si="11"/>
        <v>1</v>
      </c>
      <c r="CH48" s="220">
        <f t="shared" si="11"/>
        <v>1</v>
      </c>
      <c r="CI48" s="220">
        <f t="shared" si="11"/>
        <v>1</v>
      </c>
      <c r="CJ48" s="220">
        <f t="shared" si="11"/>
        <v>1</v>
      </c>
      <c r="CK48" s="220">
        <f t="shared" si="11"/>
        <v>1</v>
      </c>
      <c r="CL48" s="220">
        <f t="shared" si="11"/>
        <v>1</v>
      </c>
      <c r="CM48" s="220">
        <f t="shared" si="11"/>
        <v>1</v>
      </c>
      <c r="CN48" s="220">
        <f t="shared" si="11"/>
        <v>1</v>
      </c>
      <c r="CO48" s="220">
        <f t="shared" si="11"/>
        <v>1</v>
      </c>
      <c r="CP48" s="221">
        <f t="shared" si="11"/>
        <v>1</v>
      </c>
      <c r="CQ48" s="220" t="str">
        <f t="shared" si="11"/>
        <v/>
      </c>
      <c r="CR48" s="234"/>
    </row>
    <row r="49" spans="1:96" s="220" customFormat="1" ht="15" customHeight="1" x14ac:dyDescent="0.25">
      <c r="A49" s="218"/>
      <c r="B49" s="218"/>
      <c r="C49" s="219" t="s">
        <v>215</v>
      </c>
      <c r="D49" s="220">
        <f t="shared" ref="D49:AI49" si="12">IF(D$5&lt;&gt;"",COUNTIF(D$8:D$40,"U")+COUNTIF(D$8:D$40,"ZU")+COUNTIF(D$8:D$40,"SU")+COUNTIF(D$8:D$40,"SU1")+COUNTIF(D$8:D$40,"SU2")+COUNTIF(D$8:D$40,"AZV"),"")</f>
        <v>6</v>
      </c>
      <c r="E49" s="220">
        <f t="shared" si="12"/>
        <v>6</v>
      </c>
      <c r="F49" s="220">
        <f t="shared" si="12"/>
        <v>6</v>
      </c>
      <c r="G49" s="220">
        <f t="shared" si="12"/>
        <v>4</v>
      </c>
      <c r="H49" s="220">
        <f t="shared" si="12"/>
        <v>4</v>
      </c>
      <c r="I49" s="220">
        <f t="shared" si="12"/>
        <v>4</v>
      </c>
      <c r="J49" s="220">
        <f t="shared" si="12"/>
        <v>7</v>
      </c>
      <c r="K49" s="220">
        <f t="shared" si="12"/>
        <v>7</v>
      </c>
      <c r="L49" s="220">
        <f t="shared" si="12"/>
        <v>8</v>
      </c>
      <c r="M49" s="220">
        <f t="shared" si="12"/>
        <v>7</v>
      </c>
      <c r="N49" s="220">
        <f t="shared" si="12"/>
        <v>4</v>
      </c>
      <c r="O49" s="220">
        <f t="shared" si="12"/>
        <v>4</v>
      </c>
      <c r="P49" s="220">
        <f t="shared" si="12"/>
        <v>4</v>
      </c>
      <c r="Q49" s="220">
        <f t="shared" si="12"/>
        <v>4</v>
      </c>
      <c r="R49" s="220">
        <f t="shared" si="12"/>
        <v>4</v>
      </c>
      <c r="S49" s="220">
        <f t="shared" si="12"/>
        <v>5</v>
      </c>
      <c r="T49" s="220">
        <f t="shared" si="12"/>
        <v>5</v>
      </c>
      <c r="U49" s="220">
        <f t="shared" si="12"/>
        <v>5</v>
      </c>
      <c r="V49" s="220">
        <f t="shared" si="12"/>
        <v>4</v>
      </c>
      <c r="W49" s="220">
        <f t="shared" si="12"/>
        <v>3</v>
      </c>
      <c r="X49" s="220">
        <f t="shared" si="12"/>
        <v>3</v>
      </c>
      <c r="Y49" s="220">
        <f t="shared" si="12"/>
        <v>3</v>
      </c>
      <c r="Z49" s="220">
        <f t="shared" si="12"/>
        <v>3</v>
      </c>
      <c r="AA49" s="220">
        <f t="shared" si="12"/>
        <v>6</v>
      </c>
      <c r="AB49" s="220">
        <f t="shared" si="12"/>
        <v>5</v>
      </c>
      <c r="AC49" s="220">
        <f t="shared" si="12"/>
        <v>4</v>
      </c>
      <c r="AD49" s="220">
        <f t="shared" si="12"/>
        <v>1</v>
      </c>
      <c r="AE49" s="220">
        <f t="shared" si="12"/>
        <v>1</v>
      </c>
      <c r="AF49" s="220">
        <f t="shared" si="12"/>
        <v>1</v>
      </c>
      <c r="AG49" s="221">
        <f t="shared" si="12"/>
        <v>1</v>
      </c>
      <c r="AH49" s="220">
        <f t="shared" si="12"/>
        <v>1</v>
      </c>
      <c r="AI49" s="220">
        <f t="shared" si="12"/>
        <v>1</v>
      </c>
      <c r="AJ49" s="220">
        <f t="shared" ref="AJ49:BO49" si="13">IF(AJ$5&lt;&gt;"",COUNTIF(AJ$8:AJ$40,"U")+COUNTIF(AJ$8:AJ$40,"ZU")+COUNTIF(AJ$8:AJ$40,"SU")+COUNTIF(AJ$8:AJ$40,"SU1")+COUNTIF(AJ$8:AJ$40,"SU2")+COUNTIF(AJ$8:AJ$40,"AZV"),"")</f>
        <v>3</v>
      </c>
      <c r="AK49" s="220">
        <f t="shared" si="13"/>
        <v>3</v>
      </c>
      <c r="AL49" s="220">
        <f t="shared" si="13"/>
        <v>2</v>
      </c>
      <c r="AM49" s="220">
        <f t="shared" si="13"/>
        <v>2</v>
      </c>
      <c r="AN49" s="220">
        <f t="shared" si="13"/>
        <v>2</v>
      </c>
      <c r="AO49" s="220">
        <f t="shared" si="13"/>
        <v>2</v>
      </c>
      <c r="AP49" s="220">
        <f t="shared" si="13"/>
        <v>3</v>
      </c>
      <c r="AQ49" s="220">
        <f t="shared" si="13"/>
        <v>4</v>
      </c>
      <c r="AR49" s="220">
        <f t="shared" si="13"/>
        <v>4</v>
      </c>
      <c r="AS49" s="220">
        <f t="shared" si="13"/>
        <v>4</v>
      </c>
      <c r="AT49" s="220">
        <f t="shared" si="13"/>
        <v>5</v>
      </c>
      <c r="AU49" s="220">
        <f t="shared" si="13"/>
        <v>2</v>
      </c>
      <c r="AV49" s="220">
        <f t="shared" si="13"/>
        <v>2</v>
      </c>
      <c r="AW49" s="220">
        <f t="shared" si="13"/>
        <v>2</v>
      </c>
      <c r="AX49" s="220">
        <f t="shared" si="13"/>
        <v>3</v>
      </c>
      <c r="AY49" s="220">
        <f t="shared" si="13"/>
        <v>4</v>
      </c>
      <c r="AZ49" s="220">
        <f t="shared" si="13"/>
        <v>4</v>
      </c>
      <c r="BA49" s="220">
        <f t="shared" si="13"/>
        <v>4</v>
      </c>
      <c r="BB49" s="220">
        <f t="shared" si="13"/>
        <v>4</v>
      </c>
      <c r="BC49" s="220">
        <f t="shared" si="13"/>
        <v>2</v>
      </c>
      <c r="BD49" s="220">
        <f t="shared" si="13"/>
        <v>2</v>
      </c>
      <c r="BE49" s="220">
        <f t="shared" si="13"/>
        <v>2</v>
      </c>
      <c r="BF49" s="220">
        <f t="shared" si="13"/>
        <v>2</v>
      </c>
      <c r="BG49" s="220">
        <f t="shared" si="13"/>
        <v>4</v>
      </c>
      <c r="BH49" s="220">
        <f t="shared" si="13"/>
        <v>4</v>
      </c>
      <c r="BI49" s="220">
        <f t="shared" si="13"/>
        <v>4</v>
      </c>
      <c r="BJ49" s="220">
        <f t="shared" si="13"/>
        <v>3</v>
      </c>
      <c r="BK49" s="220">
        <f t="shared" si="13"/>
        <v>3</v>
      </c>
      <c r="BL49" s="221">
        <f t="shared" si="13"/>
        <v>3</v>
      </c>
      <c r="BM49" s="220">
        <f t="shared" si="13"/>
        <v>3</v>
      </c>
      <c r="BN49" s="220">
        <f t="shared" si="13"/>
        <v>5</v>
      </c>
      <c r="BO49" s="220">
        <f t="shared" si="13"/>
        <v>5</v>
      </c>
      <c r="BP49" s="220">
        <f t="shared" ref="BP49:CQ49" si="14">IF(BP$5&lt;&gt;"",COUNTIF(BP$8:BP$40,"U")+COUNTIF(BP$8:BP$40,"ZU")+COUNTIF(BP$8:BP$40,"SU")+COUNTIF(BP$8:BP$40,"SU1")+COUNTIF(BP$8:BP$40,"SU2")+COUNTIF(BP$8:BP$40,"AZV"),"")</f>
        <v>5</v>
      </c>
      <c r="BQ49" s="220">
        <f t="shared" si="14"/>
        <v>5</v>
      </c>
      <c r="BR49" s="220">
        <f t="shared" si="14"/>
        <v>4</v>
      </c>
      <c r="BS49" s="220">
        <f t="shared" si="14"/>
        <v>4</v>
      </c>
      <c r="BT49" s="220">
        <f t="shared" si="14"/>
        <v>4</v>
      </c>
      <c r="BU49" s="220">
        <f t="shared" si="14"/>
        <v>4</v>
      </c>
      <c r="BV49" s="220">
        <f t="shared" si="14"/>
        <v>4</v>
      </c>
      <c r="BW49" s="220">
        <f t="shared" si="14"/>
        <v>5</v>
      </c>
      <c r="BX49" s="220">
        <f t="shared" si="14"/>
        <v>5</v>
      </c>
      <c r="BY49" s="220">
        <f t="shared" si="14"/>
        <v>5</v>
      </c>
      <c r="BZ49" s="220">
        <f t="shared" si="14"/>
        <v>7</v>
      </c>
      <c r="CA49" s="220">
        <f t="shared" si="14"/>
        <v>5</v>
      </c>
      <c r="CB49" s="220">
        <f t="shared" si="14"/>
        <v>6</v>
      </c>
      <c r="CC49" s="220">
        <f t="shared" si="14"/>
        <v>6</v>
      </c>
      <c r="CD49" s="220">
        <f t="shared" si="14"/>
        <v>6</v>
      </c>
      <c r="CE49" s="220">
        <f t="shared" si="14"/>
        <v>8</v>
      </c>
      <c r="CF49" s="220">
        <f t="shared" si="14"/>
        <v>7</v>
      </c>
      <c r="CG49" s="220">
        <f t="shared" si="14"/>
        <v>6</v>
      </c>
      <c r="CH49" s="220">
        <f t="shared" si="14"/>
        <v>6</v>
      </c>
      <c r="CI49" s="220">
        <f t="shared" si="14"/>
        <v>5</v>
      </c>
      <c r="CJ49" s="220">
        <f t="shared" si="14"/>
        <v>5</v>
      </c>
      <c r="CK49" s="220">
        <f t="shared" si="14"/>
        <v>4</v>
      </c>
      <c r="CL49" s="220">
        <f t="shared" si="14"/>
        <v>5</v>
      </c>
      <c r="CM49" s="220">
        <f t="shared" si="14"/>
        <v>8</v>
      </c>
      <c r="CN49" s="220">
        <f t="shared" si="14"/>
        <v>8</v>
      </c>
      <c r="CO49" s="220">
        <f t="shared" si="14"/>
        <v>8</v>
      </c>
      <c r="CP49" s="221">
        <f t="shared" si="14"/>
        <v>5</v>
      </c>
      <c r="CQ49" s="220" t="str">
        <f t="shared" si="14"/>
        <v/>
      </c>
      <c r="CR49" s="234"/>
    </row>
    <row r="50" spans="1:96" s="220" customFormat="1" ht="15" customHeight="1" x14ac:dyDescent="0.25">
      <c r="A50" s="218"/>
      <c r="B50" s="218"/>
      <c r="C50" s="219" t="s">
        <v>216</v>
      </c>
      <c r="D50" s="220">
        <f t="shared" ref="D50:AI50" si="15">IF(D$5&lt;&gt;"",COUNTIF(D$8:D$40,"DA")+COUNTIF(D$8:D$40,"DA 1")+COUNTIF(D$8:D$40,"DA 2")+COUNTIF(D$8:D$40,"DA 3")+COUNTIF(D$8:D$40,"DA 4")+COUNTIF(D$8:D$40,"DA 5")+COUNTIF(D$8:D$40,"A")+COUNTIF(D$8:D$40,"A1")+COUNTIF(D$8:D$40,"A2")+COUNTIF(D$8:D$40,"A3")+COUNTIF(D$8:D$40,"A4")+COUNTIF(D$8:D$40,"A5"),"")</f>
        <v>0</v>
      </c>
      <c r="E50" s="220">
        <f t="shared" si="15"/>
        <v>0</v>
      </c>
      <c r="F50" s="220">
        <f t="shared" si="15"/>
        <v>1</v>
      </c>
      <c r="G50" s="220">
        <f t="shared" si="15"/>
        <v>1</v>
      </c>
      <c r="H50" s="220">
        <f t="shared" si="15"/>
        <v>1</v>
      </c>
      <c r="I50" s="220">
        <f t="shared" si="15"/>
        <v>1</v>
      </c>
      <c r="J50" s="220">
        <f t="shared" si="15"/>
        <v>15</v>
      </c>
      <c r="K50" s="220">
        <f t="shared" si="15"/>
        <v>0</v>
      </c>
      <c r="L50" s="220">
        <f t="shared" si="15"/>
        <v>0</v>
      </c>
      <c r="M50" s="220">
        <f t="shared" si="15"/>
        <v>0</v>
      </c>
      <c r="N50" s="220">
        <f t="shared" si="15"/>
        <v>3</v>
      </c>
      <c r="O50" s="220">
        <f t="shared" si="15"/>
        <v>1</v>
      </c>
      <c r="P50" s="220">
        <f t="shared" si="15"/>
        <v>2</v>
      </c>
      <c r="Q50" s="220">
        <f t="shared" si="15"/>
        <v>2</v>
      </c>
      <c r="R50" s="220">
        <f t="shared" si="15"/>
        <v>1</v>
      </c>
      <c r="S50" s="220">
        <f t="shared" si="15"/>
        <v>1</v>
      </c>
      <c r="T50" s="220">
        <f t="shared" si="15"/>
        <v>2</v>
      </c>
      <c r="U50" s="220">
        <f t="shared" si="15"/>
        <v>0</v>
      </c>
      <c r="V50" s="220">
        <f t="shared" si="15"/>
        <v>1</v>
      </c>
      <c r="W50" s="220">
        <f t="shared" si="15"/>
        <v>2</v>
      </c>
      <c r="X50" s="220">
        <f t="shared" si="15"/>
        <v>5</v>
      </c>
      <c r="Y50" s="220">
        <f t="shared" si="15"/>
        <v>4</v>
      </c>
      <c r="Z50" s="220">
        <f t="shared" si="15"/>
        <v>3</v>
      </c>
      <c r="AA50" s="220">
        <f t="shared" si="15"/>
        <v>0</v>
      </c>
      <c r="AB50" s="220">
        <f t="shared" si="15"/>
        <v>2</v>
      </c>
      <c r="AC50" s="220">
        <f t="shared" si="15"/>
        <v>1</v>
      </c>
      <c r="AD50" s="220">
        <f t="shared" si="15"/>
        <v>5</v>
      </c>
      <c r="AE50" s="220">
        <f t="shared" si="15"/>
        <v>0</v>
      </c>
      <c r="AF50" s="220">
        <f t="shared" si="15"/>
        <v>0</v>
      </c>
      <c r="AG50" s="221">
        <f t="shared" si="15"/>
        <v>0</v>
      </c>
      <c r="AH50" s="220">
        <f t="shared" si="15"/>
        <v>0</v>
      </c>
      <c r="AI50" s="220">
        <f t="shared" si="15"/>
        <v>24</v>
      </c>
      <c r="AJ50" s="220">
        <f t="shared" ref="AJ50:BO50" si="16">IF(AJ$5&lt;&gt;"",COUNTIF(AJ$8:AJ$40,"DA")+COUNTIF(AJ$8:AJ$40,"DA 1")+COUNTIF(AJ$8:AJ$40,"DA 2")+COUNTIF(AJ$8:AJ$40,"DA 3")+COUNTIF(AJ$8:AJ$40,"DA 4")+COUNTIF(AJ$8:AJ$40,"DA 5")+COUNTIF(AJ$8:AJ$40,"A")+COUNTIF(AJ$8:AJ$40,"A1")+COUNTIF(AJ$8:AJ$40,"A2")+COUNTIF(AJ$8:AJ$40,"A3")+COUNTIF(AJ$8:AJ$40,"A4")+COUNTIF(AJ$8:AJ$40,"A5"),"")</f>
        <v>0</v>
      </c>
      <c r="AK50" s="220">
        <f t="shared" si="16"/>
        <v>0</v>
      </c>
      <c r="AL50" s="220">
        <f t="shared" si="16"/>
        <v>1</v>
      </c>
      <c r="AM50" s="220">
        <f t="shared" si="16"/>
        <v>3</v>
      </c>
      <c r="AN50" s="220">
        <f t="shared" si="16"/>
        <v>4</v>
      </c>
      <c r="AO50" s="220">
        <f t="shared" si="16"/>
        <v>3</v>
      </c>
      <c r="AP50" s="220">
        <f t="shared" si="16"/>
        <v>3</v>
      </c>
      <c r="AQ50" s="220">
        <f t="shared" si="16"/>
        <v>2</v>
      </c>
      <c r="AR50" s="220">
        <f t="shared" si="16"/>
        <v>2</v>
      </c>
      <c r="AS50" s="220">
        <f t="shared" si="16"/>
        <v>2</v>
      </c>
      <c r="AT50" s="220">
        <f t="shared" si="16"/>
        <v>1</v>
      </c>
      <c r="AU50" s="220">
        <f t="shared" si="16"/>
        <v>0</v>
      </c>
      <c r="AV50" s="220">
        <f t="shared" si="16"/>
        <v>2</v>
      </c>
      <c r="AW50" s="220">
        <f t="shared" si="16"/>
        <v>2</v>
      </c>
      <c r="AX50" s="220">
        <f t="shared" si="16"/>
        <v>1</v>
      </c>
      <c r="AY50" s="220">
        <f t="shared" si="16"/>
        <v>0</v>
      </c>
      <c r="AZ50" s="220">
        <f t="shared" si="16"/>
        <v>3</v>
      </c>
      <c r="BA50" s="220">
        <f t="shared" si="16"/>
        <v>2</v>
      </c>
      <c r="BB50" s="220">
        <f t="shared" si="16"/>
        <v>1</v>
      </c>
      <c r="BC50" s="220">
        <f t="shared" si="16"/>
        <v>1</v>
      </c>
      <c r="BD50" s="220">
        <f t="shared" si="16"/>
        <v>2</v>
      </c>
      <c r="BE50" s="220">
        <f t="shared" si="16"/>
        <v>2</v>
      </c>
      <c r="BF50" s="220">
        <f t="shared" si="16"/>
        <v>1</v>
      </c>
      <c r="BG50" s="220">
        <f t="shared" si="16"/>
        <v>2</v>
      </c>
      <c r="BH50" s="220">
        <f t="shared" si="16"/>
        <v>2</v>
      </c>
      <c r="BI50" s="220">
        <f t="shared" si="16"/>
        <v>0</v>
      </c>
      <c r="BJ50" s="220">
        <f t="shared" si="16"/>
        <v>1</v>
      </c>
      <c r="BK50" s="220">
        <f t="shared" si="16"/>
        <v>0</v>
      </c>
      <c r="BL50" s="221">
        <f t="shared" si="16"/>
        <v>0</v>
      </c>
      <c r="BM50" s="220">
        <f t="shared" si="16"/>
        <v>1</v>
      </c>
      <c r="BN50" s="220">
        <f t="shared" si="16"/>
        <v>1</v>
      </c>
      <c r="BO50" s="220">
        <f t="shared" si="16"/>
        <v>1</v>
      </c>
      <c r="BP50" s="220">
        <f t="shared" ref="BP50:CQ50" si="17">IF(BP$5&lt;&gt;"",COUNTIF(BP$8:BP$40,"DA")+COUNTIF(BP$8:BP$40,"DA 1")+COUNTIF(BP$8:BP$40,"DA 2")+COUNTIF(BP$8:BP$40,"DA 3")+COUNTIF(BP$8:BP$40,"DA 4")+COUNTIF(BP$8:BP$40,"DA 5")+COUNTIF(BP$8:BP$40,"A")+COUNTIF(BP$8:BP$40,"A1")+COUNTIF(BP$8:BP$40,"A2")+COUNTIF(BP$8:BP$40,"A3")+COUNTIF(BP$8:BP$40,"A4")+COUNTIF(BP$8:BP$40,"A5"),"")</f>
        <v>0</v>
      </c>
      <c r="BQ50" s="220">
        <f t="shared" si="17"/>
        <v>0</v>
      </c>
      <c r="BR50" s="220">
        <f t="shared" si="17"/>
        <v>1</v>
      </c>
      <c r="BS50" s="220">
        <f t="shared" si="17"/>
        <v>1</v>
      </c>
      <c r="BT50" s="220">
        <f t="shared" si="17"/>
        <v>3</v>
      </c>
      <c r="BU50" s="220">
        <f t="shared" si="17"/>
        <v>3</v>
      </c>
      <c r="BV50" s="220">
        <f t="shared" si="17"/>
        <v>2</v>
      </c>
      <c r="BW50" s="220">
        <f t="shared" si="17"/>
        <v>0</v>
      </c>
      <c r="BX50" s="220">
        <f t="shared" si="17"/>
        <v>1</v>
      </c>
      <c r="BY50" s="220">
        <f t="shared" si="17"/>
        <v>2</v>
      </c>
      <c r="BZ50" s="220">
        <f t="shared" si="17"/>
        <v>1</v>
      </c>
      <c r="CA50" s="220">
        <f t="shared" si="17"/>
        <v>1</v>
      </c>
      <c r="CB50" s="220">
        <f t="shared" si="17"/>
        <v>2</v>
      </c>
      <c r="CC50" s="220">
        <f t="shared" si="17"/>
        <v>3</v>
      </c>
      <c r="CD50" s="220">
        <f t="shared" si="17"/>
        <v>2</v>
      </c>
      <c r="CE50" s="220">
        <f t="shared" si="17"/>
        <v>0</v>
      </c>
      <c r="CF50" s="220">
        <f t="shared" si="17"/>
        <v>1</v>
      </c>
      <c r="CG50" s="220">
        <f t="shared" si="17"/>
        <v>2</v>
      </c>
      <c r="CH50" s="220">
        <f t="shared" si="17"/>
        <v>3</v>
      </c>
      <c r="CI50" s="220">
        <f t="shared" si="17"/>
        <v>5</v>
      </c>
      <c r="CJ50" s="220">
        <f t="shared" si="17"/>
        <v>4</v>
      </c>
      <c r="CK50" s="220">
        <f t="shared" si="17"/>
        <v>3</v>
      </c>
      <c r="CL50" s="220">
        <f t="shared" si="17"/>
        <v>3</v>
      </c>
      <c r="CM50" s="220">
        <f t="shared" si="17"/>
        <v>0</v>
      </c>
      <c r="CN50" s="220">
        <f t="shared" si="17"/>
        <v>1</v>
      </c>
      <c r="CO50" s="220">
        <f t="shared" si="17"/>
        <v>1</v>
      </c>
      <c r="CP50" s="221">
        <f t="shared" si="17"/>
        <v>5</v>
      </c>
      <c r="CQ50" s="220" t="str">
        <f t="shared" si="17"/>
        <v/>
      </c>
      <c r="CR50" s="234"/>
    </row>
    <row r="51" spans="1:96" s="220" customFormat="1" ht="15" customHeight="1" x14ac:dyDescent="0.25">
      <c r="A51" s="218"/>
      <c r="B51" s="218"/>
      <c r="C51" s="219" t="s">
        <v>217</v>
      </c>
      <c r="D51" s="220">
        <f t="shared" ref="D51:AI51" si="18">IF(D$5&lt;&gt;"",COUNTIF(D$8:D$40,"FB"),"")</f>
        <v>0</v>
      </c>
      <c r="E51" s="220">
        <f t="shared" si="18"/>
        <v>0</v>
      </c>
      <c r="F51" s="220">
        <f t="shared" si="18"/>
        <v>0</v>
      </c>
      <c r="G51" s="220">
        <f t="shared" si="18"/>
        <v>0</v>
      </c>
      <c r="H51" s="220">
        <f t="shared" si="18"/>
        <v>0</v>
      </c>
      <c r="I51" s="220">
        <f t="shared" si="18"/>
        <v>0</v>
      </c>
      <c r="J51" s="220">
        <f t="shared" si="18"/>
        <v>0</v>
      </c>
      <c r="K51" s="220">
        <f t="shared" si="18"/>
        <v>0</v>
      </c>
      <c r="L51" s="220">
        <f t="shared" si="18"/>
        <v>0</v>
      </c>
      <c r="M51" s="220">
        <f t="shared" si="18"/>
        <v>0</v>
      </c>
      <c r="N51" s="220">
        <f t="shared" si="18"/>
        <v>0</v>
      </c>
      <c r="O51" s="220">
        <f t="shared" si="18"/>
        <v>0</v>
      </c>
      <c r="P51" s="220">
        <f t="shared" si="18"/>
        <v>0</v>
      </c>
      <c r="Q51" s="220">
        <f t="shared" si="18"/>
        <v>0</v>
      </c>
      <c r="R51" s="220">
        <f t="shared" si="18"/>
        <v>0</v>
      </c>
      <c r="S51" s="220">
        <f t="shared" si="18"/>
        <v>0</v>
      </c>
      <c r="T51" s="220">
        <f t="shared" si="18"/>
        <v>0</v>
      </c>
      <c r="U51" s="220">
        <f t="shared" si="18"/>
        <v>0</v>
      </c>
      <c r="V51" s="220">
        <f t="shared" si="18"/>
        <v>0</v>
      </c>
      <c r="W51" s="220">
        <f t="shared" si="18"/>
        <v>0</v>
      </c>
      <c r="X51" s="220">
        <f t="shared" si="18"/>
        <v>0</v>
      </c>
      <c r="Y51" s="220">
        <f t="shared" si="18"/>
        <v>0</v>
      </c>
      <c r="Z51" s="220">
        <f t="shared" si="18"/>
        <v>0</v>
      </c>
      <c r="AA51" s="220">
        <f t="shared" si="18"/>
        <v>0</v>
      </c>
      <c r="AB51" s="220">
        <f t="shared" si="18"/>
        <v>0</v>
      </c>
      <c r="AC51" s="220">
        <f t="shared" si="18"/>
        <v>0</v>
      </c>
      <c r="AD51" s="220">
        <f t="shared" si="18"/>
        <v>0</v>
      </c>
      <c r="AE51" s="220">
        <f t="shared" si="18"/>
        <v>0</v>
      </c>
      <c r="AF51" s="220">
        <f t="shared" si="18"/>
        <v>0</v>
      </c>
      <c r="AG51" s="221">
        <f t="shared" si="18"/>
        <v>0</v>
      </c>
      <c r="AH51" s="220">
        <f t="shared" si="18"/>
        <v>0</v>
      </c>
      <c r="AI51" s="220">
        <f t="shared" si="18"/>
        <v>0</v>
      </c>
      <c r="AJ51" s="220">
        <f t="shared" ref="AJ51:BO51" si="19">IF(AJ$5&lt;&gt;"",COUNTIF(AJ$8:AJ$40,"FB"),"")</f>
        <v>0</v>
      </c>
      <c r="AK51" s="220">
        <f t="shared" si="19"/>
        <v>0</v>
      </c>
      <c r="AL51" s="220">
        <f t="shared" si="19"/>
        <v>0</v>
      </c>
      <c r="AM51" s="220">
        <f t="shared" si="19"/>
        <v>0</v>
      </c>
      <c r="AN51" s="220">
        <f t="shared" si="19"/>
        <v>0</v>
      </c>
      <c r="AO51" s="220">
        <f t="shared" si="19"/>
        <v>0</v>
      </c>
      <c r="AP51" s="220">
        <f t="shared" si="19"/>
        <v>0</v>
      </c>
      <c r="AQ51" s="220">
        <f t="shared" si="19"/>
        <v>0</v>
      </c>
      <c r="AR51" s="220">
        <f t="shared" si="19"/>
        <v>0</v>
      </c>
      <c r="AS51" s="220">
        <f t="shared" si="19"/>
        <v>0</v>
      </c>
      <c r="AT51" s="220">
        <f t="shared" si="19"/>
        <v>0</v>
      </c>
      <c r="AU51" s="220">
        <f t="shared" si="19"/>
        <v>0</v>
      </c>
      <c r="AV51" s="220">
        <f t="shared" si="19"/>
        <v>0</v>
      </c>
      <c r="AW51" s="220">
        <f t="shared" si="19"/>
        <v>0</v>
      </c>
      <c r="AX51" s="220">
        <f t="shared" si="19"/>
        <v>0</v>
      </c>
      <c r="AY51" s="220">
        <f t="shared" si="19"/>
        <v>0</v>
      </c>
      <c r="AZ51" s="220">
        <f t="shared" si="19"/>
        <v>0</v>
      </c>
      <c r="BA51" s="220">
        <f t="shared" si="19"/>
        <v>0</v>
      </c>
      <c r="BB51" s="220">
        <f t="shared" si="19"/>
        <v>0</v>
      </c>
      <c r="BC51" s="220">
        <f t="shared" si="19"/>
        <v>0</v>
      </c>
      <c r="BD51" s="220">
        <f t="shared" si="19"/>
        <v>0</v>
      </c>
      <c r="BE51" s="220">
        <f t="shared" si="19"/>
        <v>0</v>
      </c>
      <c r="BF51" s="220">
        <f t="shared" si="19"/>
        <v>0</v>
      </c>
      <c r="BG51" s="220">
        <f t="shared" si="19"/>
        <v>0</v>
      </c>
      <c r="BH51" s="220">
        <f t="shared" si="19"/>
        <v>0</v>
      </c>
      <c r="BI51" s="220">
        <f t="shared" si="19"/>
        <v>0</v>
      </c>
      <c r="BJ51" s="220">
        <f t="shared" si="19"/>
        <v>0</v>
      </c>
      <c r="BK51" s="220">
        <f t="shared" si="19"/>
        <v>0</v>
      </c>
      <c r="BL51" s="221">
        <f t="shared" si="19"/>
        <v>0</v>
      </c>
      <c r="BM51" s="220">
        <f t="shared" si="19"/>
        <v>0</v>
      </c>
      <c r="BN51" s="220">
        <f t="shared" si="19"/>
        <v>0</v>
      </c>
      <c r="BO51" s="220">
        <f t="shared" si="19"/>
        <v>0</v>
      </c>
      <c r="BP51" s="220">
        <f t="shared" ref="BP51:CQ51" si="20">IF(BP$5&lt;&gt;"",COUNTIF(BP$8:BP$40,"FB"),"")</f>
        <v>0</v>
      </c>
      <c r="BQ51" s="220">
        <f t="shared" si="20"/>
        <v>0</v>
      </c>
      <c r="BR51" s="220">
        <f t="shared" si="20"/>
        <v>0</v>
      </c>
      <c r="BS51" s="220">
        <f t="shared" si="20"/>
        <v>0</v>
      </c>
      <c r="BT51" s="220">
        <f t="shared" si="20"/>
        <v>0</v>
      </c>
      <c r="BU51" s="220">
        <f t="shared" si="20"/>
        <v>0</v>
      </c>
      <c r="BV51" s="220">
        <f t="shared" si="20"/>
        <v>0</v>
      </c>
      <c r="BW51" s="220">
        <f t="shared" si="20"/>
        <v>0</v>
      </c>
      <c r="BX51" s="220">
        <f t="shared" si="20"/>
        <v>0</v>
      </c>
      <c r="BY51" s="220">
        <f t="shared" si="20"/>
        <v>0</v>
      </c>
      <c r="BZ51" s="220">
        <f t="shared" si="20"/>
        <v>0</v>
      </c>
      <c r="CA51" s="220">
        <f t="shared" si="20"/>
        <v>0</v>
      </c>
      <c r="CB51" s="220">
        <f t="shared" si="20"/>
        <v>0</v>
      </c>
      <c r="CC51" s="220">
        <f t="shared" si="20"/>
        <v>0</v>
      </c>
      <c r="CD51" s="220">
        <f t="shared" si="20"/>
        <v>0</v>
      </c>
      <c r="CE51" s="220">
        <f t="shared" si="20"/>
        <v>0</v>
      </c>
      <c r="CF51" s="220">
        <f t="shared" si="20"/>
        <v>0</v>
      </c>
      <c r="CG51" s="220">
        <f t="shared" si="20"/>
        <v>0</v>
      </c>
      <c r="CH51" s="220">
        <f t="shared" si="20"/>
        <v>0</v>
      </c>
      <c r="CI51" s="220">
        <f t="shared" si="20"/>
        <v>0</v>
      </c>
      <c r="CJ51" s="220">
        <f t="shared" si="20"/>
        <v>0</v>
      </c>
      <c r="CK51" s="220">
        <f t="shared" si="20"/>
        <v>0</v>
      </c>
      <c r="CL51" s="220">
        <f t="shared" si="20"/>
        <v>0</v>
      </c>
      <c r="CM51" s="220">
        <f t="shared" si="20"/>
        <v>0</v>
      </c>
      <c r="CN51" s="220">
        <f t="shared" si="20"/>
        <v>0</v>
      </c>
      <c r="CO51" s="220">
        <f t="shared" si="20"/>
        <v>0</v>
      </c>
      <c r="CP51" s="221">
        <f t="shared" si="20"/>
        <v>0</v>
      </c>
      <c r="CQ51" s="220" t="str">
        <f t="shared" si="20"/>
        <v/>
      </c>
      <c r="CR51" s="234"/>
    </row>
    <row r="52" spans="1:96" s="220" customFormat="1" ht="15" customHeight="1" x14ac:dyDescent="0.25">
      <c r="A52" s="218"/>
      <c r="B52" s="218"/>
      <c r="C52" s="219" t="s">
        <v>218</v>
      </c>
      <c r="D52" s="220">
        <f t="shared" ref="D52:AI52" si="21">IF(D$5&lt;&gt;"",COUNTIF(D$8:D$40,"ADV")+COUNTIF(D$8:D$40,"A&gt;4"),"")</f>
        <v>4</v>
      </c>
      <c r="E52" s="220">
        <f t="shared" si="21"/>
        <v>4</v>
      </c>
      <c r="F52" s="220">
        <f t="shared" si="21"/>
        <v>4</v>
      </c>
      <c r="G52" s="220">
        <f t="shared" si="21"/>
        <v>4</v>
      </c>
      <c r="H52" s="220">
        <f t="shared" si="21"/>
        <v>4</v>
      </c>
      <c r="I52" s="220">
        <f t="shared" si="21"/>
        <v>4</v>
      </c>
      <c r="J52" s="220">
        <f t="shared" si="21"/>
        <v>3</v>
      </c>
      <c r="K52" s="220">
        <f t="shared" si="21"/>
        <v>3</v>
      </c>
      <c r="L52" s="220">
        <f t="shared" si="21"/>
        <v>3</v>
      </c>
      <c r="M52" s="220">
        <f t="shared" si="21"/>
        <v>3</v>
      </c>
      <c r="N52" s="220">
        <f t="shared" si="21"/>
        <v>3</v>
      </c>
      <c r="O52" s="220">
        <f t="shared" si="21"/>
        <v>3</v>
      </c>
      <c r="P52" s="220">
        <f t="shared" si="21"/>
        <v>3</v>
      </c>
      <c r="Q52" s="220">
        <f t="shared" si="21"/>
        <v>3</v>
      </c>
      <c r="R52" s="220">
        <f t="shared" si="21"/>
        <v>3</v>
      </c>
      <c r="S52" s="220">
        <f t="shared" si="21"/>
        <v>2</v>
      </c>
      <c r="T52" s="220">
        <f t="shared" si="21"/>
        <v>2</v>
      </c>
      <c r="U52" s="220">
        <f t="shared" si="21"/>
        <v>2</v>
      </c>
      <c r="V52" s="220">
        <f t="shared" si="21"/>
        <v>2</v>
      </c>
      <c r="W52" s="220">
        <f t="shared" si="21"/>
        <v>2</v>
      </c>
      <c r="X52" s="220">
        <f t="shared" si="21"/>
        <v>2</v>
      </c>
      <c r="Y52" s="220">
        <f t="shared" si="21"/>
        <v>2</v>
      </c>
      <c r="Z52" s="220">
        <f t="shared" si="21"/>
        <v>3</v>
      </c>
      <c r="AA52" s="220">
        <f t="shared" si="21"/>
        <v>3</v>
      </c>
      <c r="AB52" s="220">
        <f t="shared" si="21"/>
        <v>3</v>
      </c>
      <c r="AC52" s="220">
        <f t="shared" si="21"/>
        <v>2</v>
      </c>
      <c r="AD52" s="220">
        <f t="shared" si="21"/>
        <v>2</v>
      </c>
      <c r="AE52" s="220">
        <f t="shared" si="21"/>
        <v>2</v>
      </c>
      <c r="AF52" s="220">
        <f t="shared" si="21"/>
        <v>2</v>
      </c>
      <c r="AG52" s="221">
        <f t="shared" si="21"/>
        <v>2</v>
      </c>
      <c r="AH52" s="220">
        <f t="shared" si="21"/>
        <v>2</v>
      </c>
      <c r="AI52" s="220">
        <f t="shared" si="21"/>
        <v>2</v>
      </c>
      <c r="AJ52" s="220">
        <f t="shared" ref="AJ52:BO52" si="22">IF(AJ$5&lt;&gt;"",COUNTIF(AJ$8:AJ$40,"ADV")+COUNTIF(AJ$8:AJ$40,"A&gt;4"),"")</f>
        <v>3</v>
      </c>
      <c r="AK52" s="220">
        <f t="shared" si="22"/>
        <v>3</v>
      </c>
      <c r="AL52" s="220">
        <f t="shared" si="22"/>
        <v>3</v>
      </c>
      <c r="AM52" s="220">
        <f t="shared" si="22"/>
        <v>3</v>
      </c>
      <c r="AN52" s="220">
        <f t="shared" si="22"/>
        <v>4</v>
      </c>
      <c r="AO52" s="220">
        <f t="shared" si="22"/>
        <v>4</v>
      </c>
      <c r="AP52" s="220">
        <f t="shared" si="22"/>
        <v>3</v>
      </c>
      <c r="AQ52" s="220">
        <f t="shared" si="22"/>
        <v>3</v>
      </c>
      <c r="AR52" s="220">
        <f t="shared" si="22"/>
        <v>2</v>
      </c>
      <c r="AS52" s="220">
        <f t="shared" si="22"/>
        <v>3</v>
      </c>
      <c r="AT52" s="220">
        <f t="shared" si="22"/>
        <v>3</v>
      </c>
      <c r="AU52" s="220">
        <f t="shared" si="22"/>
        <v>4</v>
      </c>
      <c r="AV52" s="220">
        <f t="shared" si="22"/>
        <v>5</v>
      </c>
      <c r="AW52" s="220">
        <f t="shared" si="22"/>
        <v>5</v>
      </c>
      <c r="AX52" s="220">
        <f t="shared" si="22"/>
        <v>3</v>
      </c>
      <c r="AY52" s="220">
        <f t="shared" si="22"/>
        <v>3</v>
      </c>
      <c r="AZ52" s="220">
        <f t="shared" si="22"/>
        <v>2</v>
      </c>
      <c r="BA52" s="220">
        <f t="shared" si="22"/>
        <v>2</v>
      </c>
      <c r="BB52" s="220">
        <f t="shared" si="22"/>
        <v>2</v>
      </c>
      <c r="BC52" s="220">
        <f t="shared" si="22"/>
        <v>1</v>
      </c>
      <c r="BD52" s="220">
        <f t="shared" si="22"/>
        <v>1</v>
      </c>
      <c r="BE52" s="220">
        <f t="shared" si="22"/>
        <v>1</v>
      </c>
      <c r="BF52" s="220">
        <f t="shared" si="22"/>
        <v>1</v>
      </c>
      <c r="BG52" s="220">
        <f t="shared" si="22"/>
        <v>1</v>
      </c>
      <c r="BH52" s="220">
        <f t="shared" si="22"/>
        <v>1</v>
      </c>
      <c r="BI52" s="220">
        <f t="shared" si="22"/>
        <v>1</v>
      </c>
      <c r="BJ52" s="220">
        <f t="shared" si="22"/>
        <v>1</v>
      </c>
      <c r="BK52" s="220">
        <f t="shared" si="22"/>
        <v>1</v>
      </c>
      <c r="BL52" s="221">
        <f t="shared" si="22"/>
        <v>1</v>
      </c>
      <c r="BM52" s="220">
        <f t="shared" si="22"/>
        <v>1</v>
      </c>
      <c r="BN52" s="220">
        <f t="shared" si="22"/>
        <v>1</v>
      </c>
      <c r="BO52" s="220">
        <f t="shared" si="22"/>
        <v>1</v>
      </c>
      <c r="BP52" s="220">
        <f t="shared" ref="BP52:CQ52" si="23">IF(BP$5&lt;&gt;"",COUNTIF(BP$8:BP$40,"ADV")+COUNTIF(BP$8:BP$40,"A&gt;4"),"")</f>
        <v>1</v>
      </c>
      <c r="BQ52" s="220">
        <f t="shared" si="23"/>
        <v>1</v>
      </c>
      <c r="BR52" s="220">
        <f t="shared" si="23"/>
        <v>1</v>
      </c>
      <c r="BS52" s="220">
        <f t="shared" si="23"/>
        <v>1</v>
      </c>
      <c r="BT52" s="220">
        <f t="shared" si="23"/>
        <v>1</v>
      </c>
      <c r="BU52" s="220">
        <f t="shared" si="23"/>
        <v>1</v>
      </c>
      <c r="BV52" s="220">
        <f t="shared" si="23"/>
        <v>1</v>
      </c>
      <c r="BW52" s="220">
        <f t="shared" si="23"/>
        <v>1</v>
      </c>
      <c r="BX52" s="220">
        <f t="shared" si="23"/>
        <v>1</v>
      </c>
      <c r="BY52" s="220">
        <f t="shared" si="23"/>
        <v>1</v>
      </c>
      <c r="BZ52" s="220">
        <f t="shared" si="23"/>
        <v>1</v>
      </c>
      <c r="CA52" s="220">
        <f t="shared" si="23"/>
        <v>1</v>
      </c>
      <c r="CB52" s="220">
        <f t="shared" si="23"/>
        <v>1</v>
      </c>
      <c r="CC52" s="220">
        <f t="shared" si="23"/>
        <v>1</v>
      </c>
      <c r="CD52" s="220">
        <f t="shared" si="23"/>
        <v>1</v>
      </c>
      <c r="CE52" s="220">
        <f t="shared" si="23"/>
        <v>1</v>
      </c>
      <c r="CF52" s="220">
        <f t="shared" si="23"/>
        <v>1</v>
      </c>
      <c r="CG52" s="220">
        <f t="shared" si="23"/>
        <v>1</v>
      </c>
      <c r="CH52" s="220">
        <f t="shared" si="23"/>
        <v>1</v>
      </c>
      <c r="CI52" s="220">
        <f t="shared" si="23"/>
        <v>1</v>
      </c>
      <c r="CJ52" s="220">
        <f t="shared" si="23"/>
        <v>1</v>
      </c>
      <c r="CK52" s="220">
        <f t="shared" si="23"/>
        <v>1</v>
      </c>
      <c r="CL52" s="220">
        <f t="shared" si="23"/>
        <v>2</v>
      </c>
      <c r="CM52" s="220">
        <f t="shared" si="23"/>
        <v>2</v>
      </c>
      <c r="CN52" s="220">
        <f t="shared" si="23"/>
        <v>1</v>
      </c>
      <c r="CO52" s="220">
        <f t="shared" si="23"/>
        <v>1</v>
      </c>
      <c r="CP52" s="221">
        <f t="shared" si="23"/>
        <v>1</v>
      </c>
      <c r="CQ52" s="220" t="str">
        <f t="shared" si="23"/>
        <v/>
      </c>
      <c r="CR52" s="234"/>
    </row>
    <row r="53" spans="1:96" s="220" customFormat="1" ht="15" customHeight="1" thickBot="1" x14ac:dyDescent="0.3">
      <c r="A53" s="218"/>
      <c r="B53" s="218"/>
      <c r="C53" s="219" t="s">
        <v>219</v>
      </c>
      <c r="D53" s="220">
        <f t="shared" ref="D53:AI53" si="24">IF(D$5&lt;&gt;"",COUNTIF(D$8:D$40,"S")+COUNTIF(D$8:D$40,"Elt"),"")</f>
        <v>1</v>
      </c>
      <c r="E53" s="220">
        <f t="shared" si="24"/>
        <v>1</v>
      </c>
      <c r="F53" s="220">
        <f t="shared" si="24"/>
        <v>1</v>
      </c>
      <c r="G53" s="220">
        <f t="shared" si="24"/>
        <v>4</v>
      </c>
      <c r="H53" s="220">
        <f t="shared" si="24"/>
        <v>4</v>
      </c>
      <c r="I53" s="220">
        <f t="shared" si="24"/>
        <v>4</v>
      </c>
      <c r="J53" s="220">
        <f t="shared" si="24"/>
        <v>1</v>
      </c>
      <c r="K53" s="220">
        <f t="shared" si="24"/>
        <v>1</v>
      </c>
      <c r="L53" s="220">
        <f t="shared" si="24"/>
        <v>1</v>
      </c>
      <c r="M53" s="220">
        <f t="shared" si="24"/>
        <v>1</v>
      </c>
      <c r="N53" s="220">
        <f t="shared" si="24"/>
        <v>1</v>
      </c>
      <c r="O53" s="220">
        <f t="shared" si="24"/>
        <v>4</v>
      </c>
      <c r="P53" s="220">
        <f t="shared" si="24"/>
        <v>4</v>
      </c>
      <c r="Q53" s="220">
        <f t="shared" si="24"/>
        <v>4</v>
      </c>
      <c r="R53" s="220">
        <f t="shared" si="24"/>
        <v>5</v>
      </c>
      <c r="S53" s="220">
        <f t="shared" si="24"/>
        <v>1</v>
      </c>
      <c r="T53" s="220">
        <f t="shared" si="24"/>
        <v>1</v>
      </c>
      <c r="U53" s="220">
        <f t="shared" si="24"/>
        <v>1</v>
      </c>
      <c r="V53" s="220">
        <f t="shared" si="24"/>
        <v>1</v>
      </c>
      <c r="W53" s="220">
        <f t="shared" si="24"/>
        <v>3</v>
      </c>
      <c r="X53" s="220">
        <f t="shared" si="24"/>
        <v>3</v>
      </c>
      <c r="Y53" s="220">
        <f t="shared" si="24"/>
        <v>3</v>
      </c>
      <c r="Z53" s="220">
        <f t="shared" si="24"/>
        <v>4</v>
      </c>
      <c r="AA53" s="220">
        <f t="shared" si="24"/>
        <v>1</v>
      </c>
      <c r="AB53" s="220">
        <f t="shared" si="24"/>
        <v>1</v>
      </c>
      <c r="AC53" s="220">
        <f t="shared" si="24"/>
        <v>1</v>
      </c>
      <c r="AD53" s="220">
        <f t="shared" si="24"/>
        <v>1</v>
      </c>
      <c r="AE53" s="220">
        <f t="shared" si="24"/>
        <v>4</v>
      </c>
      <c r="AF53" s="220">
        <f t="shared" si="24"/>
        <v>4</v>
      </c>
      <c r="AG53" s="221">
        <f t="shared" si="24"/>
        <v>1</v>
      </c>
      <c r="AH53" s="220">
        <f t="shared" si="24"/>
        <v>1</v>
      </c>
      <c r="AI53" s="220">
        <f t="shared" si="24"/>
        <v>1</v>
      </c>
      <c r="AJ53" s="220">
        <f t="shared" ref="AJ53:BO53" si="25">IF(AJ$5&lt;&gt;"",COUNTIF(AJ$8:AJ$40,"S")+COUNTIF(AJ$8:AJ$40,"Elt"),"")</f>
        <v>1</v>
      </c>
      <c r="AK53" s="220">
        <f t="shared" si="25"/>
        <v>1</v>
      </c>
      <c r="AL53" s="220">
        <f t="shared" si="25"/>
        <v>1</v>
      </c>
      <c r="AM53" s="220">
        <f t="shared" si="25"/>
        <v>1</v>
      </c>
      <c r="AN53" s="220">
        <f t="shared" si="25"/>
        <v>1</v>
      </c>
      <c r="AO53" s="220">
        <f t="shared" si="25"/>
        <v>1</v>
      </c>
      <c r="AP53" s="220">
        <f t="shared" si="25"/>
        <v>1</v>
      </c>
      <c r="AQ53" s="220">
        <f t="shared" si="25"/>
        <v>1</v>
      </c>
      <c r="AR53" s="220">
        <f t="shared" si="25"/>
        <v>2</v>
      </c>
      <c r="AS53" s="220">
        <f t="shared" si="25"/>
        <v>2</v>
      </c>
      <c r="AT53" s="220">
        <f t="shared" si="25"/>
        <v>2</v>
      </c>
      <c r="AU53" s="220">
        <f t="shared" si="25"/>
        <v>3</v>
      </c>
      <c r="AV53" s="220">
        <f t="shared" si="25"/>
        <v>3</v>
      </c>
      <c r="AW53" s="220">
        <f t="shared" si="25"/>
        <v>3</v>
      </c>
      <c r="AX53" s="220">
        <f t="shared" si="25"/>
        <v>3</v>
      </c>
      <c r="AY53" s="220">
        <f t="shared" si="25"/>
        <v>3</v>
      </c>
      <c r="AZ53" s="220">
        <f t="shared" si="25"/>
        <v>3</v>
      </c>
      <c r="BA53" s="220">
        <f t="shared" si="25"/>
        <v>3</v>
      </c>
      <c r="BB53" s="220">
        <f t="shared" si="25"/>
        <v>3</v>
      </c>
      <c r="BC53" s="220">
        <f t="shared" si="25"/>
        <v>4</v>
      </c>
      <c r="BD53" s="220">
        <f t="shared" si="25"/>
        <v>4</v>
      </c>
      <c r="BE53" s="220">
        <f t="shared" si="25"/>
        <v>4</v>
      </c>
      <c r="BF53" s="220">
        <f t="shared" si="25"/>
        <v>4</v>
      </c>
      <c r="BG53" s="220">
        <f t="shared" si="25"/>
        <v>3</v>
      </c>
      <c r="BH53" s="220">
        <f t="shared" si="25"/>
        <v>3</v>
      </c>
      <c r="BI53" s="220">
        <f t="shared" si="25"/>
        <v>3</v>
      </c>
      <c r="BJ53" s="220">
        <f t="shared" si="25"/>
        <v>3</v>
      </c>
      <c r="BK53" s="220">
        <f t="shared" si="25"/>
        <v>4</v>
      </c>
      <c r="BL53" s="221">
        <f t="shared" si="25"/>
        <v>5</v>
      </c>
      <c r="BM53" s="220">
        <f t="shared" si="25"/>
        <v>5</v>
      </c>
      <c r="BN53" s="220">
        <f t="shared" si="25"/>
        <v>3</v>
      </c>
      <c r="BO53" s="220">
        <f t="shared" si="25"/>
        <v>3</v>
      </c>
      <c r="BP53" s="220">
        <f t="shared" ref="BP53:CQ53" si="26">IF(BP$5&lt;&gt;"",COUNTIF(BP$8:BP$40,"S")+COUNTIF(BP$8:BP$40,"Elt"),"")</f>
        <v>3</v>
      </c>
      <c r="BQ53" s="220">
        <f t="shared" si="26"/>
        <v>3</v>
      </c>
      <c r="BR53" s="220">
        <f t="shared" si="26"/>
        <v>3</v>
      </c>
      <c r="BS53" s="220">
        <f t="shared" si="26"/>
        <v>4</v>
      </c>
      <c r="BT53" s="220">
        <f t="shared" si="26"/>
        <v>4</v>
      </c>
      <c r="BU53" s="220">
        <f t="shared" si="26"/>
        <v>4</v>
      </c>
      <c r="BV53" s="220">
        <f t="shared" si="26"/>
        <v>4</v>
      </c>
      <c r="BW53" s="220">
        <f t="shared" si="26"/>
        <v>3</v>
      </c>
      <c r="BX53" s="220">
        <f t="shared" si="26"/>
        <v>3</v>
      </c>
      <c r="BY53" s="220">
        <f t="shared" si="26"/>
        <v>3</v>
      </c>
      <c r="BZ53" s="220">
        <f t="shared" si="26"/>
        <v>3</v>
      </c>
      <c r="CA53" s="220">
        <f t="shared" si="26"/>
        <v>5</v>
      </c>
      <c r="CB53" s="220">
        <f t="shared" si="26"/>
        <v>5</v>
      </c>
      <c r="CC53" s="220">
        <f t="shared" si="26"/>
        <v>5</v>
      </c>
      <c r="CD53" s="220">
        <f t="shared" si="26"/>
        <v>5</v>
      </c>
      <c r="CE53" s="220">
        <f t="shared" si="26"/>
        <v>3</v>
      </c>
      <c r="CF53" s="220">
        <f t="shared" si="26"/>
        <v>3</v>
      </c>
      <c r="CG53" s="220">
        <f t="shared" si="26"/>
        <v>3</v>
      </c>
      <c r="CH53" s="220">
        <f t="shared" si="26"/>
        <v>3</v>
      </c>
      <c r="CI53" s="220">
        <f t="shared" si="26"/>
        <v>4</v>
      </c>
      <c r="CJ53" s="220">
        <f t="shared" si="26"/>
        <v>4</v>
      </c>
      <c r="CK53" s="220">
        <f t="shared" si="26"/>
        <v>4</v>
      </c>
      <c r="CL53" s="220">
        <f t="shared" si="26"/>
        <v>3</v>
      </c>
      <c r="CM53" s="220">
        <f t="shared" si="26"/>
        <v>3</v>
      </c>
      <c r="CN53" s="220">
        <f t="shared" si="26"/>
        <v>3</v>
      </c>
      <c r="CO53" s="220">
        <f t="shared" si="26"/>
        <v>3</v>
      </c>
      <c r="CP53" s="221">
        <f t="shared" si="26"/>
        <v>3</v>
      </c>
      <c r="CQ53" s="220" t="str">
        <f t="shared" si="26"/>
        <v/>
      </c>
      <c r="CR53" s="234"/>
    </row>
    <row r="54" spans="1:96" s="227" customFormat="1" ht="20.100000000000001" customHeight="1" thickTop="1" x14ac:dyDescent="0.25">
      <c r="A54" s="225"/>
      <c r="B54" s="225"/>
      <c r="C54" s="226" t="s">
        <v>220</v>
      </c>
      <c r="D54" s="227">
        <f t="shared" ref="D54:AI54" si="27">IF(D$5&lt;&gt;"",SUM(D48:D53),"")</f>
        <v>14</v>
      </c>
      <c r="E54" s="227">
        <f t="shared" si="27"/>
        <v>15</v>
      </c>
      <c r="F54" s="227">
        <f t="shared" si="27"/>
        <v>17</v>
      </c>
      <c r="G54" s="227">
        <f t="shared" si="27"/>
        <v>16</v>
      </c>
      <c r="H54" s="227">
        <f t="shared" si="27"/>
        <v>16</v>
      </c>
      <c r="I54" s="227">
        <f t="shared" si="27"/>
        <v>16</v>
      </c>
      <c r="J54" s="227">
        <f t="shared" si="27"/>
        <v>28</v>
      </c>
      <c r="K54" s="227">
        <f t="shared" si="27"/>
        <v>13</v>
      </c>
      <c r="L54" s="227">
        <f t="shared" si="27"/>
        <v>14</v>
      </c>
      <c r="M54" s="227">
        <f t="shared" si="27"/>
        <v>13</v>
      </c>
      <c r="N54" s="227">
        <f t="shared" si="27"/>
        <v>13</v>
      </c>
      <c r="O54" s="227">
        <f t="shared" si="27"/>
        <v>14</v>
      </c>
      <c r="P54" s="227">
        <f t="shared" si="27"/>
        <v>15</v>
      </c>
      <c r="Q54" s="227">
        <f t="shared" si="27"/>
        <v>15</v>
      </c>
      <c r="R54" s="227">
        <f t="shared" si="27"/>
        <v>14</v>
      </c>
      <c r="S54" s="227">
        <f t="shared" si="27"/>
        <v>11</v>
      </c>
      <c r="T54" s="227">
        <f t="shared" si="27"/>
        <v>12</v>
      </c>
      <c r="U54" s="227">
        <f t="shared" si="27"/>
        <v>11</v>
      </c>
      <c r="V54" s="227">
        <f t="shared" si="27"/>
        <v>11</v>
      </c>
      <c r="W54" s="227">
        <f t="shared" si="27"/>
        <v>13</v>
      </c>
      <c r="X54" s="227">
        <f t="shared" si="27"/>
        <v>16</v>
      </c>
      <c r="Y54" s="227">
        <f t="shared" si="27"/>
        <v>15</v>
      </c>
      <c r="Z54" s="227">
        <f t="shared" si="27"/>
        <v>16</v>
      </c>
      <c r="AA54" s="227">
        <f t="shared" si="27"/>
        <v>13</v>
      </c>
      <c r="AB54" s="227">
        <f t="shared" si="27"/>
        <v>14</v>
      </c>
      <c r="AC54" s="227">
        <f t="shared" si="27"/>
        <v>12</v>
      </c>
      <c r="AD54" s="227">
        <f t="shared" si="27"/>
        <v>12</v>
      </c>
      <c r="AE54" s="227">
        <f t="shared" si="27"/>
        <v>10</v>
      </c>
      <c r="AF54" s="227">
        <f t="shared" si="27"/>
        <v>10</v>
      </c>
      <c r="AG54" s="228">
        <f t="shared" si="27"/>
        <v>6</v>
      </c>
      <c r="AH54" s="227">
        <f t="shared" si="27"/>
        <v>6</v>
      </c>
      <c r="AI54" s="227">
        <f t="shared" si="27"/>
        <v>30</v>
      </c>
      <c r="AJ54" s="227">
        <f t="shared" ref="AJ54:BO54" si="28">IF(AJ$5&lt;&gt;"",SUM(AJ48:AJ53),"")</f>
        <v>9</v>
      </c>
      <c r="AK54" s="227">
        <f t="shared" si="28"/>
        <v>9</v>
      </c>
      <c r="AL54" s="227">
        <f t="shared" si="28"/>
        <v>9</v>
      </c>
      <c r="AM54" s="227">
        <f t="shared" si="28"/>
        <v>11</v>
      </c>
      <c r="AN54" s="227">
        <f t="shared" si="28"/>
        <v>13</v>
      </c>
      <c r="AO54" s="227">
        <f t="shared" si="28"/>
        <v>12</v>
      </c>
      <c r="AP54" s="227">
        <f t="shared" si="28"/>
        <v>12</v>
      </c>
      <c r="AQ54" s="227">
        <f t="shared" si="28"/>
        <v>12</v>
      </c>
      <c r="AR54" s="227">
        <f t="shared" si="28"/>
        <v>12</v>
      </c>
      <c r="AS54" s="227">
        <f t="shared" si="28"/>
        <v>13</v>
      </c>
      <c r="AT54" s="227">
        <f t="shared" si="28"/>
        <v>13</v>
      </c>
      <c r="AU54" s="227">
        <f t="shared" si="28"/>
        <v>9</v>
      </c>
      <c r="AV54" s="227">
        <f t="shared" si="28"/>
        <v>12</v>
      </c>
      <c r="AW54" s="227">
        <f t="shared" si="28"/>
        <v>12</v>
      </c>
      <c r="AX54" s="227">
        <f t="shared" si="28"/>
        <v>11</v>
      </c>
      <c r="AY54" s="227">
        <f t="shared" si="28"/>
        <v>12</v>
      </c>
      <c r="AZ54" s="227">
        <f t="shared" si="28"/>
        <v>14</v>
      </c>
      <c r="BA54" s="227">
        <f t="shared" si="28"/>
        <v>13</v>
      </c>
      <c r="BB54" s="227">
        <f t="shared" si="28"/>
        <v>12</v>
      </c>
      <c r="BC54" s="227">
        <f t="shared" si="28"/>
        <v>10</v>
      </c>
      <c r="BD54" s="227">
        <f t="shared" si="28"/>
        <v>11</v>
      </c>
      <c r="BE54" s="227">
        <f t="shared" si="28"/>
        <v>11</v>
      </c>
      <c r="BF54" s="227">
        <f t="shared" si="28"/>
        <v>10</v>
      </c>
      <c r="BG54" s="227">
        <f t="shared" si="28"/>
        <v>12</v>
      </c>
      <c r="BH54" s="227">
        <f t="shared" si="28"/>
        <v>11</v>
      </c>
      <c r="BI54" s="227">
        <f t="shared" si="28"/>
        <v>8</v>
      </c>
      <c r="BJ54" s="227">
        <f t="shared" si="28"/>
        <v>8</v>
      </c>
      <c r="BK54" s="227">
        <f t="shared" si="28"/>
        <v>8</v>
      </c>
      <c r="BL54" s="228">
        <f t="shared" si="28"/>
        <v>9</v>
      </c>
      <c r="BM54" s="227">
        <f t="shared" si="28"/>
        <v>10</v>
      </c>
      <c r="BN54" s="227">
        <f t="shared" si="28"/>
        <v>11</v>
      </c>
      <c r="BO54" s="227">
        <f t="shared" si="28"/>
        <v>11</v>
      </c>
      <c r="BP54" s="227">
        <f t="shared" ref="BP54:CQ54" si="29">IF(BP$5&lt;&gt;"",SUM(BP48:BP53),"")</f>
        <v>10</v>
      </c>
      <c r="BQ54" s="227">
        <f t="shared" si="29"/>
        <v>10</v>
      </c>
      <c r="BR54" s="227">
        <f t="shared" si="29"/>
        <v>10</v>
      </c>
      <c r="BS54" s="227">
        <f t="shared" si="29"/>
        <v>11</v>
      </c>
      <c r="BT54" s="227">
        <f t="shared" si="29"/>
        <v>13</v>
      </c>
      <c r="BU54" s="227">
        <f t="shared" si="29"/>
        <v>14</v>
      </c>
      <c r="BV54" s="227">
        <f t="shared" si="29"/>
        <v>12</v>
      </c>
      <c r="BW54" s="227">
        <f t="shared" si="29"/>
        <v>10</v>
      </c>
      <c r="BX54" s="227">
        <f t="shared" si="29"/>
        <v>11</v>
      </c>
      <c r="BY54" s="227">
        <f t="shared" si="29"/>
        <v>12</v>
      </c>
      <c r="BZ54" s="227">
        <f t="shared" si="29"/>
        <v>13</v>
      </c>
      <c r="CA54" s="227">
        <f t="shared" si="29"/>
        <v>13</v>
      </c>
      <c r="CB54" s="227">
        <f t="shared" si="29"/>
        <v>15</v>
      </c>
      <c r="CC54" s="227">
        <f t="shared" si="29"/>
        <v>16</v>
      </c>
      <c r="CD54" s="227">
        <f t="shared" si="29"/>
        <v>15</v>
      </c>
      <c r="CE54" s="227">
        <f t="shared" si="29"/>
        <v>13</v>
      </c>
      <c r="CF54" s="227">
        <f t="shared" si="29"/>
        <v>13</v>
      </c>
      <c r="CG54" s="227">
        <f t="shared" si="29"/>
        <v>13</v>
      </c>
      <c r="CH54" s="227">
        <f t="shared" si="29"/>
        <v>14</v>
      </c>
      <c r="CI54" s="227">
        <f t="shared" si="29"/>
        <v>16</v>
      </c>
      <c r="CJ54" s="227">
        <f t="shared" si="29"/>
        <v>15</v>
      </c>
      <c r="CK54" s="227">
        <f t="shared" si="29"/>
        <v>13</v>
      </c>
      <c r="CL54" s="227">
        <f t="shared" si="29"/>
        <v>14</v>
      </c>
      <c r="CM54" s="227">
        <f t="shared" si="29"/>
        <v>14</v>
      </c>
      <c r="CN54" s="227">
        <f t="shared" si="29"/>
        <v>14</v>
      </c>
      <c r="CO54" s="227">
        <f t="shared" si="29"/>
        <v>14</v>
      </c>
      <c r="CP54" s="228">
        <f t="shared" si="29"/>
        <v>15</v>
      </c>
      <c r="CQ54" s="227" t="str">
        <f t="shared" si="29"/>
        <v/>
      </c>
      <c r="CR54" s="235"/>
    </row>
  </sheetData>
  <sheetProtection algorithmName="SHA-512" hashValue="04Xfm1FubX0D4GKXxnwvsngyFEa7AGvNJDAt/GoBClUbtae7w0JJVZ6toqRRUfRoeXUh5ZsDadp0uf7pX8GWfw==" saltValue="a7DIX++Vi4PL0BTo3gug2Q==" spinCount="100000" sheet="1" objects="1" scenarios="1" selectLockedCells="1"/>
  <dataConsolidate/>
  <mergeCells count="14">
    <mergeCell ref="A46:C46"/>
    <mergeCell ref="D1:H1"/>
    <mergeCell ref="A40:C40"/>
    <mergeCell ref="CT2:CT6"/>
    <mergeCell ref="I1:CP1"/>
    <mergeCell ref="A17:C17"/>
    <mergeCell ref="CU2:CU6"/>
    <mergeCell ref="A7:C7"/>
    <mergeCell ref="A10:C10"/>
    <mergeCell ref="C2:C3"/>
    <mergeCell ref="CS2:CS6"/>
    <mergeCell ref="D2:AG2"/>
    <mergeCell ref="AH2:BL2"/>
    <mergeCell ref="BM2:CP2"/>
  </mergeCells>
  <conditionalFormatting sqref="D8:CQ45">
    <cfRule type="cellIs" dxfId="32" priority="33" operator="equal">
      <formula>"O"</formula>
    </cfRule>
    <cfRule type="cellIs" dxfId="31" priority="32" operator="equal">
      <formula>"X"</formula>
    </cfRule>
    <cfRule type="cellIs" dxfId="30" priority="31" operator="equal">
      <formula>"E"</formula>
    </cfRule>
    <cfRule type="cellIs" dxfId="29" priority="30" operator="equal">
      <formula>"DF"</formula>
    </cfRule>
    <cfRule type="cellIs" dxfId="28" priority="29" operator="equal">
      <formula>"ADV"</formula>
    </cfRule>
    <cfRule type="cellIs" dxfId="27" priority="28" operator="equal">
      <formula>"A&gt;4"</formula>
    </cfRule>
    <cfRule type="cellIs" dxfId="26" priority="27" operator="equal">
      <formula>"FB"</formula>
    </cfRule>
    <cfRule type="cellIs" dxfId="25" priority="26" operator="equal">
      <formula>"-"</formula>
    </cfRule>
    <cfRule type="cellIs" dxfId="24" priority="25" operator="equal">
      <formula>"T-DA"</formula>
    </cfRule>
    <cfRule type="cellIs" dxfId="23" priority="24" operator="equal">
      <formula>"DA"</formula>
    </cfRule>
    <cfRule type="cellIs" dxfId="22" priority="23" operator="equal">
      <formula>"DA 1"</formula>
    </cfRule>
    <cfRule type="cellIs" dxfId="21" priority="22" operator="equal">
      <formula>"DA 2"</formula>
    </cfRule>
    <cfRule type="cellIs" dxfId="20" priority="21" operator="equal">
      <formula>"DA 3"</formula>
    </cfRule>
    <cfRule type="cellIs" dxfId="19" priority="20" operator="equal">
      <formula>"DA 4"</formula>
    </cfRule>
    <cfRule type="cellIs" dxfId="18" priority="19" operator="equal">
      <formula>"DA 5"</formula>
    </cfRule>
    <cfRule type="cellIs" dxfId="17" priority="18" operator="equal">
      <formula>"FAK"</formula>
    </cfRule>
    <cfRule type="cellIs" dxfId="16" priority="17" operator="equal">
      <formula>"U"</formula>
    </cfRule>
    <cfRule type="cellIs" dxfId="15" priority="16" operator="equal">
      <formula>"ZU"</formula>
    </cfRule>
    <cfRule type="cellIs" dxfId="14" priority="15" stopIfTrue="1" operator="equal">
      <formula>"SU"</formula>
    </cfRule>
    <cfRule type="cellIs" dxfId="13" priority="14" stopIfTrue="1" operator="equal">
      <formula>"SU1"</formula>
    </cfRule>
    <cfRule type="cellIs" dxfId="12" priority="13" operator="equal">
      <formula>"SU2"</formula>
    </cfRule>
    <cfRule type="cellIs" dxfId="11" priority="12" operator="equal">
      <formula>"AZV"</formula>
    </cfRule>
    <cfRule type="cellIs" dxfId="10" priority="11" operator="equal">
      <formula>"S"</formula>
    </cfRule>
    <cfRule type="cellIs" dxfId="9" priority="10" operator="equal">
      <formula>"Elt"</formula>
    </cfRule>
    <cfRule type="cellIs" dxfId="8" priority="9" operator="equal">
      <formula>"A"</formula>
    </cfRule>
    <cfRule type="cellIs" dxfId="7" priority="8" operator="equal">
      <formula>"A1"</formula>
    </cfRule>
    <cfRule type="cellIs" dxfId="6" priority="7" operator="equal">
      <formula>"A2"</formula>
    </cfRule>
    <cfRule type="cellIs" dxfId="5" priority="6" operator="equal">
      <formula>"A3"</formula>
    </cfRule>
    <cfRule type="cellIs" dxfId="4" priority="5" operator="equal">
      <formula>"A4"</formula>
    </cfRule>
    <cfRule type="cellIs" dxfId="3" priority="4" operator="equal">
      <formula>"A5"</formula>
    </cfRule>
    <cfRule type="cellIs" dxfId="2" priority="3" operator="equal">
      <formula>"T"</formula>
    </cfRule>
    <cfRule type="cellIs" dxfId="1" priority="2" operator="equal">
      <formula>"Kr"</formula>
    </cfRule>
    <cfRule type="cellIs" dxfId="0" priority="1" operator="equal">
      <formula>"KrDU"</formula>
    </cfRule>
  </conditionalFormatting>
  <pageMargins left="0.25" right="0.25" top="0.75" bottom="0.75" header="0.3" footer="0.3"/>
  <pageSetup paperSize="8" scale="41" orientation="landscape" r:id="rId1"/>
  <headerFooter>
    <oddHeader xml:space="preserve">&amp;L&amp;"Arial,Standard"Projekt: Dienstplan
&amp;Z&amp;F
&amp;A&amp;C&amp;"Arial,Fett"&amp;24Dienstplan&amp;R&amp;"Arial,Standard"&amp;D &amp;T
</oddHead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>
    <pageSetUpPr fitToPage="1"/>
  </sheetPr>
  <dimension ref="A1:Q120"/>
  <sheetViews>
    <sheetView showGridLines="0" showRowColHeaders="0" workbookViewId="0">
      <selection activeCell="C2" sqref="C2"/>
    </sheetView>
  </sheetViews>
  <sheetFormatPr baseColWidth="10" defaultRowHeight="15" x14ac:dyDescent="0.25"/>
  <cols>
    <col min="1" max="1" width="6.7109375" customWidth="1"/>
    <col min="2" max="2" width="19.5703125" customWidth="1"/>
    <col min="3" max="14" width="6.7109375" customWidth="1"/>
  </cols>
  <sheetData>
    <row r="1" spans="1:17" ht="15" customHeight="1" x14ac:dyDescent="0.25">
      <c r="A1" s="254"/>
      <c r="B1" s="254"/>
      <c r="C1" s="254"/>
      <c r="D1" s="254"/>
      <c r="E1" s="275" t="s">
        <v>51</v>
      </c>
      <c r="F1" s="275"/>
      <c r="G1" s="275"/>
      <c r="H1" s="275"/>
      <c r="I1" s="275"/>
      <c r="J1" s="275"/>
      <c r="K1" s="254"/>
      <c r="L1" s="254"/>
      <c r="M1" s="254"/>
      <c r="N1" s="37" t="s">
        <v>256</v>
      </c>
      <c r="O1" s="254"/>
      <c r="P1" s="254"/>
      <c r="Q1" s="254"/>
    </row>
    <row r="2" spans="1:17" ht="27.95" customHeight="1" x14ac:dyDescent="0.25">
      <c r="A2" s="53"/>
      <c r="B2" s="53" t="s">
        <v>102</v>
      </c>
      <c r="C2" s="54" t="s">
        <v>23</v>
      </c>
      <c r="D2" s="276" t="s">
        <v>249</v>
      </c>
      <c r="E2" s="277"/>
      <c r="F2" s="277"/>
      <c r="G2" s="277"/>
      <c r="H2" s="277"/>
      <c r="I2" s="277"/>
      <c r="J2" s="277"/>
      <c r="K2" s="277"/>
      <c r="L2" s="278" t="s">
        <v>252</v>
      </c>
      <c r="M2" s="279"/>
      <c r="N2" s="280"/>
      <c r="O2" s="254"/>
      <c r="P2" s="254"/>
      <c r="Q2" s="254"/>
    </row>
    <row r="3" spans="1:17" ht="18" customHeight="1" x14ac:dyDescent="0.25">
      <c r="A3" s="254"/>
      <c r="B3" s="254"/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4"/>
      <c r="P3" s="254"/>
      <c r="Q3" s="254"/>
    </row>
    <row r="4" spans="1:17" ht="20.100000000000001" customHeight="1" x14ac:dyDescent="0.25">
      <c r="A4" s="254"/>
      <c r="B4" s="254"/>
      <c r="C4" s="254"/>
      <c r="D4" s="281" t="s">
        <v>251</v>
      </c>
      <c r="E4" s="282"/>
      <c r="F4" s="282"/>
      <c r="G4" s="282"/>
      <c r="H4" s="282"/>
      <c r="I4" s="282"/>
      <c r="J4" s="282"/>
      <c r="K4" s="283"/>
      <c r="L4" s="254"/>
      <c r="M4" s="254"/>
      <c r="N4" s="254"/>
      <c r="O4" s="254"/>
      <c r="P4" s="254"/>
      <c r="Q4" s="254"/>
    </row>
    <row r="5" spans="1:17" ht="18" customHeight="1" x14ac:dyDescent="0.25">
      <c r="A5" s="254"/>
      <c r="B5" s="254"/>
      <c r="C5" s="254"/>
      <c r="D5" s="52" t="s">
        <v>103</v>
      </c>
      <c r="E5" s="284">
        <v>0.75</v>
      </c>
      <c r="F5" s="284"/>
      <c r="G5" s="55" t="s">
        <v>104</v>
      </c>
      <c r="H5" s="52" t="s">
        <v>105</v>
      </c>
      <c r="I5" s="284">
        <v>0.25</v>
      </c>
      <c r="J5" s="284"/>
      <c r="K5" s="55" t="s">
        <v>104</v>
      </c>
      <c r="L5" s="254"/>
      <c r="M5" s="254"/>
      <c r="N5" s="254"/>
      <c r="O5" s="254"/>
      <c r="P5" s="254"/>
      <c r="Q5" s="254"/>
    </row>
    <row r="6" spans="1:17" ht="15" customHeight="1" thickBot="1" x14ac:dyDescent="0.3">
      <c r="A6" s="254"/>
      <c r="B6" s="254"/>
      <c r="C6" s="254"/>
      <c r="D6" s="254"/>
      <c r="E6" s="254"/>
      <c r="F6" s="254"/>
      <c r="G6" s="254"/>
      <c r="H6" s="254"/>
      <c r="I6" s="254"/>
      <c r="J6" s="254"/>
      <c r="K6" s="254"/>
      <c r="L6" s="254"/>
      <c r="M6" s="254"/>
      <c r="N6" s="254"/>
      <c r="O6" s="254"/>
      <c r="P6" s="254"/>
      <c r="Q6" s="254"/>
    </row>
    <row r="7" spans="1:17" ht="20.100000000000001" customHeight="1" thickBot="1" x14ac:dyDescent="0.3">
      <c r="A7" s="270" t="s">
        <v>100</v>
      </c>
      <c r="B7" s="271"/>
      <c r="C7" s="171">
        <v>0.79166666666666663</v>
      </c>
      <c r="D7" s="171">
        <v>0.83333333333333337</v>
      </c>
      <c r="E7" s="171">
        <v>0.875</v>
      </c>
      <c r="F7" s="171">
        <v>0.91666666666666663</v>
      </c>
      <c r="G7" s="171">
        <v>0.95833333333333337</v>
      </c>
      <c r="H7" s="171">
        <v>0</v>
      </c>
      <c r="I7" s="171">
        <v>4.1666666666666664E-2</v>
      </c>
      <c r="J7" s="171">
        <v>8.3333333333333329E-2</v>
      </c>
      <c r="K7" s="171">
        <v>0.125</v>
      </c>
      <c r="L7" s="171">
        <v>0.16666666666666666</v>
      </c>
      <c r="M7" s="171">
        <v>0.20833333333333334</v>
      </c>
      <c r="N7" s="171">
        <v>0.25</v>
      </c>
      <c r="O7" s="254"/>
      <c r="P7" s="254"/>
      <c r="Q7" s="254"/>
    </row>
    <row r="8" spans="1:17" ht="15" customHeight="1" x14ac:dyDescent="0.25">
      <c r="A8" s="56">
        <v>1</v>
      </c>
      <c r="B8" s="56" t="s">
        <v>159</v>
      </c>
      <c r="C8" s="251"/>
      <c r="D8" s="252"/>
      <c r="E8" s="252"/>
      <c r="F8" s="252"/>
      <c r="G8" s="252"/>
      <c r="H8" s="252"/>
      <c r="I8" s="252"/>
      <c r="J8" s="252"/>
      <c r="K8" s="252"/>
      <c r="L8" s="252"/>
      <c r="M8" s="252"/>
      <c r="N8" s="253"/>
      <c r="O8" s="254"/>
      <c r="P8" s="254"/>
      <c r="Q8" s="254"/>
    </row>
    <row r="9" spans="1:17" ht="15" customHeight="1" x14ac:dyDescent="0.25">
      <c r="A9" s="57">
        <v>2</v>
      </c>
      <c r="B9" s="57" t="s">
        <v>161</v>
      </c>
      <c r="C9" s="248"/>
      <c r="D9" s="249"/>
      <c r="E9" s="249"/>
      <c r="F9" s="249"/>
      <c r="G9" s="249"/>
      <c r="H9" s="249"/>
      <c r="I9" s="249"/>
      <c r="J9" s="249"/>
      <c r="K9" s="249"/>
      <c r="L9" s="249"/>
      <c r="M9" s="249"/>
      <c r="N9" s="250"/>
      <c r="O9" s="254"/>
      <c r="P9" s="254"/>
      <c r="Q9" s="254"/>
    </row>
    <row r="10" spans="1:17" ht="15" customHeight="1" x14ac:dyDescent="0.25">
      <c r="A10" s="57">
        <v>3</v>
      </c>
      <c r="B10" s="57" t="s">
        <v>162</v>
      </c>
      <c r="C10" s="248"/>
      <c r="D10" s="249"/>
      <c r="E10" s="249"/>
      <c r="F10" s="249"/>
      <c r="G10" s="249"/>
      <c r="H10" s="249"/>
      <c r="I10" s="249"/>
      <c r="J10" s="249"/>
      <c r="K10" s="249"/>
      <c r="L10" s="249"/>
      <c r="M10" s="249"/>
      <c r="N10" s="250"/>
      <c r="O10" s="254"/>
      <c r="P10" s="254"/>
      <c r="Q10" s="254"/>
    </row>
    <row r="11" spans="1:17" ht="15" customHeight="1" x14ac:dyDescent="0.25">
      <c r="A11" s="57">
        <v>4</v>
      </c>
      <c r="B11" s="57" t="s">
        <v>164</v>
      </c>
      <c r="C11" s="248"/>
      <c r="D11" s="249"/>
      <c r="E11" s="249"/>
      <c r="F11" s="249"/>
      <c r="G11" s="249"/>
      <c r="H11" s="249"/>
      <c r="I11" s="249"/>
      <c r="J11" s="249"/>
      <c r="K11" s="249"/>
      <c r="L11" s="249"/>
      <c r="M11" s="249"/>
      <c r="N11" s="250"/>
      <c r="O11" s="254"/>
      <c r="P11" s="254"/>
      <c r="Q11" s="254"/>
    </row>
    <row r="12" spans="1:17" ht="15" customHeight="1" x14ac:dyDescent="0.25">
      <c r="A12" s="57">
        <v>5</v>
      </c>
      <c r="B12" s="57" t="s">
        <v>165</v>
      </c>
      <c r="C12" s="248"/>
      <c r="D12" s="249"/>
      <c r="E12" s="249"/>
      <c r="F12" s="249"/>
      <c r="G12" s="249"/>
      <c r="H12" s="249"/>
      <c r="I12" s="249"/>
      <c r="J12" s="249"/>
      <c r="K12" s="249"/>
      <c r="L12" s="249"/>
      <c r="M12" s="249"/>
      <c r="N12" s="250"/>
      <c r="O12" s="254"/>
      <c r="P12" s="254"/>
      <c r="Q12" s="254"/>
    </row>
    <row r="13" spans="1:17" ht="15" customHeight="1" x14ac:dyDescent="0.25">
      <c r="A13" s="57">
        <v>6</v>
      </c>
      <c r="B13" s="57" t="s">
        <v>167</v>
      </c>
      <c r="C13" s="248"/>
      <c r="D13" s="249"/>
      <c r="E13" s="249"/>
      <c r="F13" s="249"/>
      <c r="G13" s="249"/>
      <c r="H13" s="249"/>
      <c r="I13" s="249"/>
      <c r="J13" s="249"/>
      <c r="K13" s="249"/>
      <c r="L13" s="249"/>
      <c r="M13" s="249"/>
      <c r="N13" s="250"/>
      <c r="O13" s="254"/>
      <c r="P13" s="254"/>
      <c r="Q13" s="254"/>
    </row>
    <row r="14" spans="1:17" ht="15" customHeight="1" x14ac:dyDescent="0.25">
      <c r="A14" s="57">
        <v>7</v>
      </c>
      <c r="B14" s="57" t="s">
        <v>171</v>
      </c>
      <c r="C14" s="248"/>
      <c r="D14" s="249"/>
      <c r="E14" s="249"/>
      <c r="F14" s="249"/>
      <c r="G14" s="249"/>
      <c r="H14" s="249"/>
      <c r="I14" s="249"/>
      <c r="J14" s="249"/>
      <c r="K14" s="249"/>
      <c r="L14" s="249"/>
      <c r="M14" s="249"/>
      <c r="N14" s="250"/>
      <c r="O14" s="254"/>
      <c r="P14" s="254"/>
      <c r="Q14" s="254"/>
    </row>
    <row r="15" spans="1:17" ht="15" customHeight="1" x14ac:dyDescent="0.25">
      <c r="A15" s="57">
        <v>8</v>
      </c>
      <c r="B15" s="57" t="s">
        <v>175</v>
      </c>
      <c r="C15" s="248"/>
      <c r="D15" s="249"/>
      <c r="E15" s="249"/>
      <c r="F15" s="249"/>
      <c r="G15" s="249"/>
      <c r="H15" s="249"/>
      <c r="I15" s="249"/>
      <c r="J15" s="249"/>
      <c r="K15" s="249"/>
      <c r="L15" s="249"/>
      <c r="M15" s="249"/>
      <c r="N15" s="250"/>
      <c r="O15" s="254"/>
      <c r="P15" s="254"/>
      <c r="Q15" s="254"/>
    </row>
    <row r="16" spans="1:17" ht="15" customHeight="1" x14ac:dyDescent="0.25">
      <c r="A16" s="57">
        <v>9</v>
      </c>
      <c r="B16" s="57" t="s">
        <v>176</v>
      </c>
      <c r="C16" s="248"/>
      <c r="D16" s="249"/>
      <c r="E16" s="249"/>
      <c r="F16" s="249"/>
      <c r="G16" s="249"/>
      <c r="H16" s="249"/>
      <c r="I16" s="249"/>
      <c r="J16" s="249"/>
      <c r="K16" s="249"/>
      <c r="L16" s="249"/>
      <c r="M16" s="249"/>
      <c r="N16" s="250"/>
      <c r="O16" s="254"/>
      <c r="P16" s="254"/>
      <c r="Q16" s="254"/>
    </row>
    <row r="17" spans="1:17" ht="15" customHeight="1" x14ac:dyDescent="0.25">
      <c r="A17" s="57">
        <v>10</v>
      </c>
      <c r="B17" s="57" t="s">
        <v>178</v>
      </c>
      <c r="C17" s="248"/>
      <c r="D17" s="249"/>
      <c r="E17" s="249"/>
      <c r="F17" s="249"/>
      <c r="G17" s="249"/>
      <c r="H17" s="249"/>
      <c r="I17" s="249"/>
      <c r="J17" s="249"/>
      <c r="K17" s="249"/>
      <c r="L17" s="249"/>
      <c r="M17" s="249"/>
      <c r="N17" s="250"/>
      <c r="O17" s="254"/>
      <c r="P17" s="254"/>
      <c r="Q17" s="254"/>
    </row>
    <row r="18" spans="1:17" ht="15" customHeight="1" x14ac:dyDescent="0.25">
      <c r="A18" s="57">
        <v>11</v>
      </c>
      <c r="B18" s="57" t="s">
        <v>180</v>
      </c>
      <c r="C18" s="248"/>
      <c r="D18" s="249"/>
      <c r="E18" s="249"/>
      <c r="F18" s="249"/>
      <c r="G18" s="249"/>
      <c r="H18" s="249"/>
      <c r="I18" s="249"/>
      <c r="J18" s="249"/>
      <c r="K18" s="249"/>
      <c r="L18" s="249"/>
      <c r="M18" s="249"/>
      <c r="N18" s="250"/>
      <c r="O18" s="254"/>
      <c r="P18" s="254"/>
      <c r="Q18" s="254"/>
    </row>
    <row r="19" spans="1:17" ht="15" customHeight="1" x14ac:dyDescent="0.25">
      <c r="A19" s="57">
        <v>12</v>
      </c>
      <c r="B19" s="57" t="s">
        <v>182</v>
      </c>
      <c r="C19" s="248"/>
      <c r="D19" s="249"/>
      <c r="E19" s="249"/>
      <c r="F19" s="249"/>
      <c r="G19" s="249"/>
      <c r="H19" s="249"/>
      <c r="I19" s="249"/>
      <c r="J19" s="249"/>
      <c r="K19" s="249"/>
      <c r="L19" s="249"/>
      <c r="M19" s="249"/>
      <c r="N19" s="250"/>
      <c r="O19" s="254"/>
      <c r="P19" s="254"/>
      <c r="Q19" s="254"/>
    </row>
    <row r="20" spans="1:17" ht="15" customHeight="1" x14ac:dyDescent="0.25">
      <c r="A20" s="57">
        <v>13</v>
      </c>
      <c r="B20" s="57" t="s">
        <v>183</v>
      </c>
      <c r="C20" s="248"/>
      <c r="D20" s="249"/>
      <c r="E20" s="249"/>
      <c r="F20" s="249"/>
      <c r="G20" s="249"/>
      <c r="H20" s="249"/>
      <c r="I20" s="249"/>
      <c r="J20" s="249"/>
      <c r="K20" s="249"/>
      <c r="L20" s="249"/>
      <c r="M20" s="249"/>
      <c r="N20" s="250"/>
      <c r="O20" s="254"/>
      <c r="P20" s="254"/>
      <c r="Q20" s="254"/>
    </row>
    <row r="21" spans="1:17" ht="15" customHeight="1" x14ac:dyDescent="0.25">
      <c r="A21" s="57">
        <v>14</v>
      </c>
      <c r="B21" s="57" t="s">
        <v>185</v>
      </c>
      <c r="C21" s="248"/>
      <c r="D21" s="249"/>
      <c r="E21" s="249"/>
      <c r="F21" s="249"/>
      <c r="G21" s="249"/>
      <c r="H21" s="249"/>
      <c r="I21" s="249"/>
      <c r="J21" s="249"/>
      <c r="K21" s="249"/>
      <c r="L21" s="249"/>
      <c r="M21" s="249"/>
      <c r="N21" s="250"/>
      <c r="O21" s="254"/>
      <c r="P21" s="254"/>
      <c r="Q21" s="254"/>
    </row>
    <row r="22" spans="1:17" ht="15" customHeight="1" x14ac:dyDescent="0.25">
      <c r="A22" s="57">
        <v>15</v>
      </c>
      <c r="B22" s="57" t="s">
        <v>186</v>
      </c>
      <c r="C22" s="248"/>
      <c r="D22" s="249"/>
      <c r="E22" s="249"/>
      <c r="F22" s="249"/>
      <c r="G22" s="249"/>
      <c r="H22" s="249"/>
      <c r="I22" s="249"/>
      <c r="J22" s="249"/>
      <c r="K22" s="249"/>
      <c r="L22" s="249"/>
      <c r="M22" s="249"/>
      <c r="N22" s="250"/>
      <c r="O22" s="254"/>
      <c r="P22" s="254"/>
      <c r="Q22" s="254"/>
    </row>
    <row r="23" spans="1:17" ht="15" customHeight="1" x14ac:dyDescent="0.25">
      <c r="A23" s="57">
        <v>16</v>
      </c>
      <c r="B23" s="57" t="s">
        <v>187</v>
      </c>
      <c r="C23" s="248"/>
      <c r="D23" s="249"/>
      <c r="E23" s="249"/>
      <c r="F23" s="249"/>
      <c r="G23" s="249"/>
      <c r="H23" s="249"/>
      <c r="I23" s="249"/>
      <c r="J23" s="249"/>
      <c r="K23" s="249"/>
      <c r="L23" s="249"/>
      <c r="M23" s="249"/>
      <c r="N23" s="250"/>
      <c r="O23" s="254"/>
      <c r="P23" s="254"/>
      <c r="Q23" s="254"/>
    </row>
    <row r="24" spans="1:17" ht="15" customHeight="1" x14ac:dyDescent="0.25">
      <c r="A24" s="57">
        <v>17</v>
      </c>
      <c r="B24" s="57" t="s">
        <v>188</v>
      </c>
      <c r="C24" s="248"/>
      <c r="D24" s="249"/>
      <c r="E24" s="249"/>
      <c r="F24" s="249"/>
      <c r="G24" s="249"/>
      <c r="H24" s="249"/>
      <c r="I24" s="249"/>
      <c r="J24" s="249"/>
      <c r="K24" s="249"/>
      <c r="L24" s="249"/>
      <c r="M24" s="249"/>
      <c r="N24" s="250"/>
      <c r="O24" s="254"/>
      <c r="P24" s="254"/>
      <c r="Q24" s="254"/>
    </row>
    <row r="25" spans="1:17" ht="15" customHeight="1" x14ac:dyDescent="0.25">
      <c r="A25" s="57">
        <v>18</v>
      </c>
      <c r="B25" s="57" t="s">
        <v>226</v>
      </c>
      <c r="C25" s="248"/>
      <c r="D25" s="249"/>
      <c r="E25" s="249"/>
      <c r="F25" s="249"/>
      <c r="G25" s="249"/>
      <c r="H25" s="249"/>
      <c r="I25" s="249"/>
      <c r="J25" s="249"/>
      <c r="K25" s="249"/>
      <c r="L25" s="249"/>
      <c r="M25" s="249"/>
      <c r="N25" s="250"/>
      <c r="O25" s="254"/>
      <c r="P25" s="254"/>
      <c r="Q25" s="254"/>
    </row>
    <row r="26" spans="1:17" ht="15" customHeight="1" x14ac:dyDescent="0.25">
      <c r="A26" s="57">
        <v>19</v>
      </c>
      <c r="B26" s="57" t="s">
        <v>227</v>
      </c>
      <c r="C26" s="248"/>
      <c r="D26" s="249"/>
      <c r="E26" s="249"/>
      <c r="F26" s="249"/>
      <c r="G26" s="249"/>
      <c r="H26" s="249"/>
      <c r="I26" s="249"/>
      <c r="J26" s="249"/>
      <c r="K26" s="249"/>
      <c r="L26" s="249"/>
      <c r="M26" s="249"/>
      <c r="N26" s="250"/>
      <c r="O26" s="254"/>
      <c r="P26" s="254"/>
      <c r="Q26" s="254"/>
    </row>
    <row r="27" spans="1:17" ht="15" customHeight="1" x14ac:dyDescent="0.25">
      <c r="A27" s="57"/>
      <c r="B27" s="57"/>
      <c r="C27" s="248"/>
      <c r="D27" s="249"/>
      <c r="E27" s="249"/>
      <c r="F27" s="249"/>
      <c r="G27" s="249"/>
      <c r="H27" s="249"/>
      <c r="I27" s="249"/>
      <c r="J27" s="249"/>
      <c r="K27" s="249"/>
      <c r="L27" s="249"/>
      <c r="M27" s="249"/>
      <c r="N27" s="250"/>
      <c r="O27" s="254"/>
      <c r="P27" s="254"/>
      <c r="Q27" s="254"/>
    </row>
    <row r="28" spans="1:17" ht="15" customHeight="1" x14ac:dyDescent="0.25">
      <c r="A28" s="57"/>
      <c r="B28" s="57"/>
      <c r="C28" s="248"/>
      <c r="D28" s="249"/>
      <c r="E28" s="249"/>
      <c r="F28" s="249"/>
      <c r="G28" s="249"/>
      <c r="H28" s="249"/>
      <c r="I28" s="249"/>
      <c r="J28" s="249"/>
      <c r="K28" s="249"/>
      <c r="L28" s="249"/>
      <c r="M28" s="249"/>
      <c r="N28" s="250"/>
      <c r="O28" s="254"/>
      <c r="P28" s="254"/>
      <c r="Q28" s="254"/>
    </row>
    <row r="29" spans="1:17" ht="15" customHeight="1" x14ac:dyDescent="0.25">
      <c r="A29" s="57"/>
      <c r="B29" s="57"/>
      <c r="C29" s="248"/>
      <c r="D29" s="249"/>
      <c r="E29" s="249"/>
      <c r="F29" s="249"/>
      <c r="G29" s="249"/>
      <c r="H29" s="249"/>
      <c r="I29" s="249"/>
      <c r="J29" s="249"/>
      <c r="K29" s="249"/>
      <c r="L29" s="249"/>
      <c r="M29" s="249"/>
      <c r="N29" s="250"/>
      <c r="O29" s="254"/>
      <c r="P29" s="254"/>
      <c r="Q29" s="254"/>
    </row>
    <row r="30" spans="1:17" ht="15" customHeight="1" x14ac:dyDescent="0.25">
      <c r="A30" s="57"/>
      <c r="B30" s="57"/>
      <c r="C30" s="248"/>
      <c r="D30" s="249"/>
      <c r="E30" s="249"/>
      <c r="F30" s="249"/>
      <c r="G30" s="249"/>
      <c r="H30" s="249"/>
      <c r="I30" s="249"/>
      <c r="J30" s="249"/>
      <c r="K30" s="249"/>
      <c r="L30" s="249"/>
      <c r="M30" s="249"/>
      <c r="N30" s="250"/>
      <c r="O30" s="254"/>
      <c r="P30" s="254"/>
      <c r="Q30" s="254"/>
    </row>
    <row r="31" spans="1:17" ht="15" customHeight="1" x14ac:dyDescent="0.25">
      <c r="A31" s="57"/>
      <c r="B31" s="57"/>
      <c r="C31" s="248"/>
      <c r="D31" s="249"/>
      <c r="E31" s="249"/>
      <c r="F31" s="249"/>
      <c r="G31" s="249"/>
      <c r="H31" s="249"/>
      <c r="I31" s="249"/>
      <c r="J31" s="249"/>
      <c r="K31" s="249"/>
      <c r="L31" s="249"/>
      <c r="M31" s="249"/>
      <c r="N31" s="250"/>
      <c r="O31" s="254"/>
      <c r="P31" s="254"/>
      <c r="Q31" s="254"/>
    </row>
    <row r="32" spans="1:17" ht="15" customHeight="1" x14ac:dyDescent="0.25">
      <c r="A32" s="57"/>
      <c r="B32" s="57"/>
      <c r="C32" s="248"/>
      <c r="D32" s="249"/>
      <c r="E32" s="249"/>
      <c r="F32" s="249"/>
      <c r="G32" s="249"/>
      <c r="H32" s="249"/>
      <c r="I32" s="249"/>
      <c r="J32" s="249"/>
      <c r="K32" s="249"/>
      <c r="L32" s="249"/>
      <c r="M32" s="249"/>
      <c r="N32" s="250"/>
      <c r="O32" s="254"/>
      <c r="P32" s="254"/>
      <c r="Q32" s="254"/>
    </row>
    <row r="33" spans="1:17" ht="15" customHeight="1" x14ac:dyDescent="0.25">
      <c r="A33" s="57"/>
      <c r="B33" s="57"/>
      <c r="C33" s="248"/>
      <c r="D33" s="249"/>
      <c r="E33" s="249"/>
      <c r="F33" s="249"/>
      <c r="G33" s="249"/>
      <c r="H33" s="249"/>
      <c r="I33" s="249"/>
      <c r="J33" s="249"/>
      <c r="K33" s="249"/>
      <c r="L33" s="249"/>
      <c r="M33" s="249"/>
      <c r="N33" s="250"/>
      <c r="O33" s="254"/>
      <c r="P33" s="254"/>
      <c r="Q33" s="254"/>
    </row>
    <row r="34" spans="1:17" ht="15" customHeight="1" x14ac:dyDescent="0.25">
      <c r="A34" s="57"/>
      <c r="B34" s="57"/>
      <c r="C34" s="248"/>
      <c r="D34" s="249"/>
      <c r="E34" s="249"/>
      <c r="F34" s="249"/>
      <c r="G34" s="249"/>
      <c r="H34" s="249"/>
      <c r="I34" s="249"/>
      <c r="J34" s="249"/>
      <c r="K34" s="249"/>
      <c r="L34" s="249"/>
      <c r="M34" s="249"/>
      <c r="N34" s="250"/>
      <c r="O34" s="254"/>
      <c r="P34" s="254"/>
      <c r="Q34" s="254"/>
    </row>
    <row r="35" spans="1:17" ht="15" customHeight="1" x14ac:dyDescent="0.25">
      <c r="A35" s="57"/>
      <c r="B35" s="57"/>
      <c r="C35" s="248"/>
      <c r="D35" s="249"/>
      <c r="E35" s="249"/>
      <c r="F35" s="249"/>
      <c r="G35" s="249"/>
      <c r="H35" s="249"/>
      <c r="I35" s="249"/>
      <c r="J35" s="249"/>
      <c r="K35" s="249"/>
      <c r="L35" s="249"/>
      <c r="M35" s="249"/>
      <c r="N35" s="250"/>
      <c r="O35" s="254"/>
      <c r="P35" s="254"/>
      <c r="Q35" s="254"/>
    </row>
    <row r="36" spans="1:17" ht="15" customHeight="1" x14ac:dyDescent="0.25">
      <c r="A36" s="57"/>
      <c r="B36" s="57"/>
      <c r="C36" s="248"/>
      <c r="D36" s="249"/>
      <c r="E36" s="249"/>
      <c r="F36" s="249"/>
      <c r="G36" s="249"/>
      <c r="H36" s="249"/>
      <c r="I36" s="249"/>
      <c r="J36" s="249"/>
      <c r="K36" s="249"/>
      <c r="L36" s="249"/>
      <c r="M36" s="249"/>
      <c r="N36" s="250"/>
      <c r="O36" s="254"/>
      <c r="P36" s="254"/>
      <c r="Q36" s="254"/>
    </row>
    <row r="37" spans="1:17" ht="15" customHeight="1" x14ac:dyDescent="0.25">
      <c r="A37" s="57"/>
      <c r="B37" s="57"/>
      <c r="C37" s="248"/>
      <c r="D37" s="249"/>
      <c r="E37" s="249"/>
      <c r="F37" s="249"/>
      <c r="G37" s="249"/>
      <c r="H37" s="249"/>
      <c r="I37" s="249"/>
      <c r="J37" s="249"/>
      <c r="K37" s="249"/>
      <c r="L37" s="249"/>
      <c r="M37" s="249"/>
      <c r="N37" s="250"/>
      <c r="O37" s="254"/>
      <c r="P37" s="254"/>
      <c r="Q37" s="254"/>
    </row>
    <row r="38" spans="1:17" ht="15" customHeight="1" x14ac:dyDescent="0.25">
      <c r="A38" s="57"/>
      <c r="B38" s="57"/>
      <c r="C38" s="248"/>
      <c r="D38" s="249"/>
      <c r="E38" s="249"/>
      <c r="F38" s="249"/>
      <c r="G38" s="249"/>
      <c r="H38" s="249"/>
      <c r="I38" s="249"/>
      <c r="J38" s="249"/>
      <c r="K38" s="249"/>
      <c r="L38" s="249"/>
      <c r="M38" s="249"/>
      <c r="N38" s="250"/>
      <c r="O38" s="254"/>
      <c r="P38" s="254"/>
      <c r="Q38" s="254"/>
    </row>
    <row r="39" spans="1:17" ht="15" customHeight="1" x14ac:dyDescent="0.25">
      <c r="A39" s="57"/>
      <c r="B39" s="57"/>
      <c r="C39" s="248"/>
      <c r="D39" s="249"/>
      <c r="E39" s="249"/>
      <c r="F39" s="249"/>
      <c r="G39" s="249"/>
      <c r="H39" s="249"/>
      <c r="I39" s="249"/>
      <c r="J39" s="249"/>
      <c r="K39" s="249"/>
      <c r="L39" s="249"/>
      <c r="M39" s="249"/>
      <c r="N39" s="250"/>
      <c r="O39" s="254"/>
      <c r="P39" s="254"/>
      <c r="Q39" s="254"/>
    </row>
    <row r="40" spans="1:17" ht="15" customHeight="1" x14ac:dyDescent="0.25">
      <c r="A40" s="57"/>
      <c r="B40" s="57"/>
      <c r="C40" s="248"/>
      <c r="D40" s="249"/>
      <c r="E40" s="249"/>
      <c r="F40" s="249"/>
      <c r="G40" s="249"/>
      <c r="H40" s="249"/>
      <c r="I40" s="249"/>
      <c r="J40" s="249"/>
      <c r="K40" s="249"/>
      <c r="L40" s="249"/>
      <c r="M40" s="249"/>
      <c r="N40" s="250"/>
      <c r="O40" s="254"/>
      <c r="P40" s="254"/>
      <c r="Q40" s="254"/>
    </row>
    <row r="41" spans="1:17" ht="15" customHeight="1" x14ac:dyDescent="0.25">
      <c r="A41" s="57"/>
      <c r="B41" s="57"/>
      <c r="C41" s="248"/>
      <c r="D41" s="249"/>
      <c r="E41" s="249"/>
      <c r="F41" s="249"/>
      <c r="G41" s="249"/>
      <c r="H41" s="249"/>
      <c r="I41" s="249"/>
      <c r="J41" s="249"/>
      <c r="K41" s="249"/>
      <c r="L41" s="249"/>
      <c r="M41" s="249"/>
      <c r="N41" s="250"/>
      <c r="O41" s="254"/>
      <c r="P41" s="254"/>
      <c r="Q41" s="254"/>
    </row>
    <row r="42" spans="1:17" ht="15" customHeight="1" x14ac:dyDescent="0.25">
      <c r="A42" s="57"/>
      <c r="B42" s="57"/>
      <c r="C42" s="248"/>
      <c r="D42" s="249"/>
      <c r="E42" s="249"/>
      <c r="F42" s="249"/>
      <c r="G42" s="249"/>
      <c r="H42" s="249"/>
      <c r="I42" s="249"/>
      <c r="J42" s="249"/>
      <c r="K42" s="249"/>
      <c r="L42" s="249"/>
      <c r="M42" s="249"/>
      <c r="N42" s="250"/>
      <c r="O42" s="254"/>
      <c r="P42" s="254"/>
      <c r="Q42" s="254"/>
    </row>
    <row r="43" spans="1:17" ht="15" customHeight="1" x14ac:dyDescent="0.25">
      <c r="A43" s="57"/>
      <c r="B43" s="57"/>
      <c r="C43" s="248"/>
      <c r="D43" s="249"/>
      <c r="E43" s="249"/>
      <c r="F43" s="249"/>
      <c r="G43" s="249"/>
      <c r="H43" s="249"/>
      <c r="I43" s="249"/>
      <c r="J43" s="249"/>
      <c r="K43" s="249"/>
      <c r="L43" s="249"/>
      <c r="M43" s="249"/>
      <c r="N43" s="250"/>
      <c r="O43" s="254"/>
      <c r="P43" s="254"/>
      <c r="Q43" s="254"/>
    </row>
    <row r="44" spans="1:17" ht="15" customHeight="1" x14ac:dyDescent="0.25">
      <c r="A44" s="57"/>
      <c r="B44" s="57"/>
      <c r="C44" s="248"/>
      <c r="D44" s="249"/>
      <c r="E44" s="249"/>
      <c r="F44" s="249"/>
      <c r="G44" s="249"/>
      <c r="H44" s="249"/>
      <c r="I44" s="249"/>
      <c r="J44" s="249"/>
      <c r="K44" s="249"/>
      <c r="L44" s="249"/>
      <c r="M44" s="249"/>
      <c r="N44" s="250"/>
      <c r="O44" s="254"/>
      <c r="P44" s="254"/>
      <c r="Q44" s="254"/>
    </row>
    <row r="45" spans="1:17" ht="15" customHeight="1" x14ac:dyDescent="0.25">
      <c r="A45" s="57"/>
      <c r="B45" s="57"/>
      <c r="C45" s="248"/>
      <c r="D45" s="249"/>
      <c r="E45" s="249"/>
      <c r="F45" s="249"/>
      <c r="G45" s="249"/>
      <c r="H45" s="249"/>
      <c r="I45" s="249"/>
      <c r="J45" s="249"/>
      <c r="K45" s="249"/>
      <c r="L45" s="249"/>
      <c r="M45" s="249"/>
      <c r="N45" s="250"/>
      <c r="O45" s="254"/>
      <c r="P45" s="254"/>
      <c r="Q45" s="254"/>
    </row>
    <row r="46" spans="1:17" ht="15" customHeight="1" x14ac:dyDescent="0.25">
      <c r="A46" s="57"/>
      <c r="B46" s="57"/>
      <c r="C46" s="248"/>
      <c r="D46" s="249"/>
      <c r="E46" s="249"/>
      <c r="F46" s="249"/>
      <c r="G46" s="249"/>
      <c r="H46" s="249"/>
      <c r="I46" s="249"/>
      <c r="J46" s="249"/>
      <c r="K46" s="249"/>
      <c r="L46" s="249"/>
      <c r="M46" s="249"/>
      <c r="N46" s="250"/>
      <c r="O46" s="254"/>
      <c r="P46" s="254"/>
      <c r="Q46" s="254"/>
    </row>
    <row r="47" spans="1:17" ht="15" customHeight="1" x14ac:dyDescent="0.25">
      <c r="A47" s="57"/>
      <c r="B47" s="57"/>
      <c r="C47" s="248"/>
      <c r="D47" s="249"/>
      <c r="E47" s="249"/>
      <c r="F47" s="249"/>
      <c r="G47" s="249"/>
      <c r="H47" s="249"/>
      <c r="I47" s="249"/>
      <c r="J47" s="249"/>
      <c r="K47" s="249"/>
      <c r="L47" s="249"/>
      <c r="M47" s="249"/>
      <c r="N47" s="250"/>
      <c r="O47" s="254"/>
      <c r="P47" s="254"/>
      <c r="Q47" s="254"/>
    </row>
    <row r="48" spans="1:17" ht="15" customHeight="1" x14ac:dyDescent="0.25">
      <c r="A48" s="57"/>
      <c r="B48" s="57"/>
      <c r="C48" s="248"/>
      <c r="D48" s="249"/>
      <c r="E48" s="249"/>
      <c r="F48" s="249"/>
      <c r="G48" s="249"/>
      <c r="H48" s="249"/>
      <c r="I48" s="249"/>
      <c r="J48" s="249"/>
      <c r="K48" s="249"/>
      <c r="L48" s="249"/>
      <c r="M48" s="249"/>
      <c r="N48" s="250"/>
      <c r="O48" s="254"/>
      <c r="P48" s="254"/>
      <c r="Q48" s="254"/>
    </row>
    <row r="49" spans="1:17" ht="15" customHeight="1" x14ac:dyDescent="0.25">
      <c r="A49" s="57"/>
      <c r="B49" s="57"/>
      <c r="C49" s="248"/>
      <c r="D49" s="249"/>
      <c r="E49" s="249"/>
      <c r="F49" s="249"/>
      <c r="G49" s="249"/>
      <c r="H49" s="249"/>
      <c r="I49" s="249"/>
      <c r="J49" s="249"/>
      <c r="K49" s="249"/>
      <c r="L49" s="249"/>
      <c r="M49" s="249"/>
      <c r="N49" s="250"/>
      <c r="O49" s="254"/>
      <c r="P49" s="254"/>
      <c r="Q49" s="254"/>
    </row>
    <row r="50" spans="1:17" ht="15" customHeight="1" x14ac:dyDescent="0.25">
      <c r="A50" s="57"/>
      <c r="B50" s="57"/>
      <c r="C50" s="248"/>
      <c r="D50" s="249"/>
      <c r="E50" s="249"/>
      <c r="F50" s="249"/>
      <c r="G50" s="249"/>
      <c r="H50" s="249"/>
      <c r="I50" s="249"/>
      <c r="J50" s="249"/>
      <c r="K50" s="249"/>
      <c r="L50" s="249"/>
      <c r="M50" s="249"/>
      <c r="N50" s="250"/>
      <c r="O50" s="254"/>
      <c r="P50" s="254"/>
      <c r="Q50" s="254"/>
    </row>
    <row r="51" spans="1:17" ht="15" customHeight="1" x14ac:dyDescent="0.25">
      <c r="A51" s="57"/>
      <c r="B51" s="57"/>
      <c r="C51" s="248"/>
      <c r="D51" s="249"/>
      <c r="E51" s="249"/>
      <c r="F51" s="249"/>
      <c r="G51" s="249"/>
      <c r="H51" s="249"/>
      <c r="I51" s="249"/>
      <c r="J51" s="249"/>
      <c r="K51" s="249"/>
      <c r="L51" s="249"/>
      <c r="M51" s="249"/>
      <c r="N51" s="250"/>
      <c r="O51" s="254"/>
      <c r="P51" s="254"/>
      <c r="Q51" s="254"/>
    </row>
    <row r="52" spans="1:17" ht="15" customHeight="1" x14ac:dyDescent="0.25">
      <c r="A52" s="57"/>
      <c r="B52" s="57"/>
      <c r="C52" s="248"/>
      <c r="D52" s="249"/>
      <c r="E52" s="249"/>
      <c r="F52" s="249"/>
      <c r="G52" s="249"/>
      <c r="H52" s="249"/>
      <c r="I52" s="249"/>
      <c r="J52" s="249"/>
      <c r="K52" s="249"/>
      <c r="L52" s="249"/>
      <c r="M52" s="249"/>
      <c r="N52" s="250"/>
      <c r="O52" s="254"/>
      <c r="P52" s="254"/>
      <c r="Q52" s="254"/>
    </row>
    <row r="53" spans="1:17" ht="5.0999999999999996" customHeight="1" thickBot="1" x14ac:dyDescent="0.3">
      <c r="A53" s="254"/>
      <c r="B53" s="254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254"/>
      <c r="P53" s="254"/>
      <c r="Q53" s="254"/>
    </row>
    <row r="54" spans="1:17" ht="20.100000000000001" customHeight="1" thickBot="1" x14ac:dyDescent="0.3">
      <c r="A54" s="270" t="s">
        <v>82</v>
      </c>
      <c r="B54" s="271"/>
      <c r="C54" s="59"/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254"/>
      <c r="P54" s="254"/>
      <c r="Q54" s="254"/>
    </row>
    <row r="55" spans="1:17" ht="15" customHeight="1" x14ac:dyDescent="0.25">
      <c r="A55" s="56">
        <v>1</v>
      </c>
      <c r="B55" s="56" t="s">
        <v>184</v>
      </c>
      <c r="C55" s="251" t="s">
        <v>239</v>
      </c>
      <c r="D55" s="252"/>
      <c r="E55" s="252"/>
      <c r="F55" s="252"/>
      <c r="G55" s="252"/>
      <c r="H55" s="252"/>
      <c r="I55" s="252"/>
      <c r="J55" s="252"/>
      <c r="K55" s="252"/>
      <c r="L55" s="252"/>
      <c r="M55" s="252"/>
      <c r="N55" s="253"/>
      <c r="O55" s="254"/>
      <c r="P55" s="254"/>
      <c r="Q55" s="254"/>
    </row>
    <row r="56" spans="1:17" ht="15" customHeight="1" x14ac:dyDescent="0.25">
      <c r="A56" s="57"/>
      <c r="B56" s="57"/>
      <c r="C56" s="248"/>
      <c r="D56" s="249"/>
      <c r="E56" s="249"/>
      <c r="F56" s="249"/>
      <c r="G56" s="249"/>
      <c r="H56" s="249"/>
      <c r="I56" s="249"/>
      <c r="J56" s="249"/>
      <c r="K56" s="249"/>
      <c r="L56" s="249"/>
      <c r="M56" s="249"/>
      <c r="N56" s="250"/>
      <c r="O56" s="254"/>
      <c r="P56" s="254"/>
      <c r="Q56" s="254"/>
    </row>
    <row r="57" spans="1:17" ht="15" customHeight="1" x14ac:dyDescent="0.25">
      <c r="A57" s="57"/>
      <c r="B57" s="57"/>
      <c r="C57" s="248"/>
      <c r="D57" s="249"/>
      <c r="E57" s="249"/>
      <c r="F57" s="249"/>
      <c r="G57" s="249"/>
      <c r="H57" s="249"/>
      <c r="I57" s="249"/>
      <c r="J57" s="249"/>
      <c r="K57" s="249"/>
      <c r="L57" s="249"/>
      <c r="M57" s="249"/>
      <c r="N57" s="250"/>
      <c r="O57" s="254"/>
      <c r="P57" s="254"/>
      <c r="Q57" s="254"/>
    </row>
    <row r="58" spans="1:17" ht="15" customHeight="1" x14ac:dyDescent="0.25">
      <c r="A58" s="254"/>
      <c r="B58" s="254"/>
      <c r="C58" s="254"/>
      <c r="D58" s="254"/>
      <c r="E58" s="254"/>
      <c r="F58" s="254"/>
      <c r="G58" s="254"/>
      <c r="H58" s="254"/>
      <c r="I58" s="254"/>
      <c r="J58" s="254"/>
      <c r="K58" s="254"/>
      <c r="L58" s="254"/>
      <c r="M58" s="254"/>
      <c r="N58" s="254"/>
      <c r="O58" s="254"/>
      <c r="P58" s="254"/>
      <c r="Q58" s="254"/>
    </row>
    <row r="59" spans="1:17" ht="27.95" customHeight="1" x14ac:dyDescent="0.25">
      <c r="A59" s="53"/>
      <c r="B59" s="53" t="s">
        <v>102</v>
      </c>
      <c r="C59" s="54" t="str">
        <f>C2</f>
        <v>N</v>
      </c>
      <c r="D59" s="276" t="s">
        <v>249</v>
      </c>
      <c r="E59" s="277"/>
      <c r="F59" s="277"/>
      <c r="G59" s="277"/>
      <c r="H59" s="277"/>
      <c r="I59" s="277"/>
      <c r="J59" s="277"/>
      <c r="K59" s="277"/>
      <c r="L59" s="278" t="str">
        <f t="shared" ref="L59" si="0">L2</f>
        <v>1/16 + 2</v>
      </c>
      <c r="M59" s="282"/>
      <c r="N59" s="283"/>
      <c r="O59" s="254"/>
      <c r="P59" s="254"/>
      <c r="Q59" s="254"/>
    </row>
    <row r="60" spans="1:17" ht="18" customHeight="1" x14ac:dyDescent="0.25">
      <c r="A60" s="254"/>
      <c r="B60" s="254"/>
      <c r="C60" s="254"/>
      <c r="D60" s="254"/>
      <c r="E60" s="254"/>
      <c r="F60" s="254"/>
      <c r="G60" s="254"/>
      <c r="H60" s="254"/>
      <c r="I60" s="254"/>
      <c r="J60" s="254"/>
      <c r="K60" s="254"/>
      <c r="L60" s="254"/>
      <c r="M60" s="254"/>
      <c r="N60" s="254"/>
      <c r="O60" s="254"/>
      <c r="P60" s="254"/>
      <c r="Q60" s="254"/>
    </row>
    <row r="61" spans="1:17" ht="20.100000000000001" customHeight="1" x14ac:dyDescent="0.25">
      <c r="A61" s="254"/>
      <c r="B61" s="254"/>
      <c r="C61" s="254"/>
      <c r="D61" s="281" t="str">
        <f t="shared" ref="D61" si="1">D4</f>
        <v>Donnerstag, 14. Juni 2018</v>
      </c>
      <c r="E61" s="282"/>
      <c r="F61" s="282"/>
      <c r="G61" s="282"/>
      <c r="H61" s="282"/>
      <c r="I61" s="282"/>
      <c r="J61" s="282"/>
      <c r="K61" s="283"/>
      <c r="L61" s="254"/>
      <c r="M61" s="254"/>
      <c r="N61" s="254"/>
      <c r="O61" s="254"/>
      <c r="P61" s="254"/>
      <c r="Q61" s="254"/>
    </row>
    <row r="62" spans="1:17" ht="18" customHeight="1" x14ac:dyDescent="0.25">
      <c r="A62" s="254"/>
      <c r="B62" s="254"/>
      <c r="C62" s="254"/>
      <c r="D62" s="52" t="s">
        <v>103</v>
      </c>
      <c r="E62" s="284">
        <f t="shared" ref="E62" si="2">E5</f>
        <v>0.75</v>
      </c>
      <c r="F62" s="284"/>
      <c r="G62" s="55" t="s">
        <v>104</v>
      </c>
      <c r="H62" s="52" t="s">
        <v>105</v>
      </c>
      <c r="I62" s="284">
        <f t="shared" ref="I62" si="3">I5</f>
        <v>0.25</v>
      </c>
      <c r="J62" s="284"/>
      <c r="K62" s="55" t="s">
        <v>104</v>
      </c>
      <c r="L62" s="254"/>
      <c r="M62" s="254"/>
      <c r="N62" s="254"/>
      <c r="O62" s="254"/>
      <c r="P62" s="254"/>
      <c r="Q62" s="254"/>
    </row>
    <row r="63" spans="1:17" ht="15" customHeight="1" thickBot="1" x14ac:dyDescent="0.3">
      <c r="A63" s="254"/>
      <c r="B63" s="254"/>
      <c r="C63" s="254"/>
      <c r="D63" s="254"/>
      <c r="E63" s="254"/>
      <c r="F63" s="254"/>
      <c r="G63" s="254"/>
      <c r="H63" s="254"/>
      <c r="I63" s="254"/>
      <c r="J63" s="254"/>
      <c r="K63" s="254"/>
      <c r="L63" s="254"/>
      <c r="M63" s="254"/>
      <c r="N63" s="254"/>
      <c r="O63" s="254"/>
      <c r="P63" s="254"/>
      <c r="Q63" s="254"/>
    </row>
    <row r="64" spans="1:17" ht="20.100000000000001" customHeight="1" thickBot="1" x14ac:dyDescent="0.3">
      <c r="A64" s="270" t="s">
        <v>115</v>
      </c>
      <c r="B64" s="271"/>
      <c r="C64" s="254"/>
      <c r="D64" s="254"/>
      <c r="E64" s="254"/>
      <c r="F64" s="254"/>
      <c r="G64" s="254"/>
      <c r="H64" s="254"/>
      <c r="I64" s="254"/>
      <c r="J64" s="254"/>
      <c r="K64" s="254"/>
      <c r="L64" s="254"/>
      <c r="M64" s="254"/>
      <c r="N64" s="254"/>
      <c r="O64" s="254"/>
      <c r="P64" s="254"/>
      <c r="Q64" s="254"/>
    </row>
    <row r="65" spans="1:17" ht="15" customHeight="1" x14ac:dyDescent="0.25">
      <c r="A65" s="56"/>
      <c r="B65" s="56"/>
      <c r="C65" s="272"/>
      <c r="D65" s="273"/>
      <c r="E65" s="273"/>
      <c r="F65" s="273"/>
      <c r="G65" s="273"/>
      <c r="H65" s="273"/>
      <c r="I65" s="273"/>
      <c r="J65" s="273"/>
      <c r="K65" s="273"/>
      <c r="L65" s="273"/>
      <c r="M65" s="273"/>
      <c r="N65" s="274"/>
      <c r="O65" s="254"/>
      <c r="P65" s="254"/>
      <c r="Q65" s="254"/>
    </row>
    <row r="66" spans="1:17" ht="15" customHeight="1" x14ac:dyDescent="0.25">
      <c r="A66" s="57"/>
      <c r="B66" s="57"/>
      <c r="C66" s="267"/>
      <c r="D66" s="268"/>
      <c r="E66" s="268"/>
      <c r="F66" s="268"/>
      <c r="G66" s="268"/>
      <c r="H66" s="268"/>
      <c r="I66" s="268"/>
      <c r="J66" s="268"/>
      <c r="K66" s="268"/>
      <c r="L66" s="268"/>
      <c r="M66" s="268"/>
      <c r="N66" s="269"/>
      <c r="O66" s="254"/>
      <c r="P66" s="254"/>
      <c r="Q66" s="254"/>
    </row>
    <row r="67" spans="1:17" ht="5.0999999999999996" customHeight="1" thickBot="1" x14ac:dyDescent="0.3">
      <c r="A67" s="254"/>
      <c r="B67" s="254"/>
      <c r="C67" s="254"/>
      <c r="D67" s="254"/>
      <c r="E67" s="254"/>
      <c r="F67" s="254"/>
      <c r="G67" s="254"/>
      <c r="H67" s="254"/>
      <c r="I67" s="254"/>
      <c r="J67" s="254"/>
      <c r="K67" s="254"/>
      <c r="L67" s="254"/>
      <c r="M67" s="254"/>
      <c r="N67" s="254"/>
      <c r="O67" s="254"/>
      <c r="P67" s="254"/>
      <c r="Q67" s="254"/>
    </row>
    <row r="68" spans="1:17" ht="20.100000000000001" customHeight="1" thickBot="1" x14ac:dyDescent="0.3">
      <c r="A68" s="270" t="s">
        <v>84</v>
      </c>
      <c r="B68" s="271"/>
      <c r="C68" s="254"/>
      <c r="D68" s="254"/>
      <c r="E68" s="254"/>
      <c r="F68" s="254"/>
      <c r="G68" s="254"/>
      <c r="H68" s="254"/>
      <c r="I68" s="254"/>
      <c r="J68" s="254"/>
      <c r="K68" s="254"/>
      <c r="L68" s="254"/>
      <c r="M68" s="254"/>
      <c r="N68" s="254"/>
      <c r="O68" s="254"/>
      <c r="P68" s="254"/>
      <c r="Q68" s="254"/>
    </row>
    <row r="69" spans="1:17" ht="15" customHeight="1" x14ac:dyDescent="0.25">
      <c r="A69" s="56">
        <v>1</v>
      </c>
      <c r="B69" s="56" t="s">
        <v>160</v>
      </c>
      <c r="C69" s="272" t="s">
        <v>245</v>
      </c>
      <c r="D69" s="273"/>
      <c r="E69" s="273"/>
      <c r="F69" s="273"/>
      <c r="G69" s="273"/>
      <c r="H69" s="273"/>
      <c r="I69" s="273"/>
      <c r="J69" s="273"/>
      <c r="K69" s="273"/>
      <c r="L69" s="273"/>
      <c r="M69" s="273"/>
      <c r="N69" s="274"/>
      <c r="O69" s="254"/>
      <c r="P69" s="254"/>
      <c r="Q69" s="254"/>
    </row>
    <row r="70" spans="1:17" ht="15" customHeight="1" x14ac:dyDescent="0.25">
      <c r="A70" s="57">
        <v>2</v>
      </c>
      <c r="B70" s="57" t="s">
        <v>168</v>
      </c>
      <c r="C70" s="267" t="s">
        <v>253</v>
      </c>
      <c r="D70" s="268"/>
      <c r="E70" s="268"/>
      <c r="F70" s="268"/>
      <c r="G70" s="268"/>
      <c r="H70" s="268"/>
      <c r="I70" s="268"/>
      <c r="J70" s="268"/>
      <c r="K70" s="268"/>
      <c r="L70" s="268"/>
      <c r="M70" s="268"/>
      <c r="N70" s="269"/>
      <c r="O70" s="254"/>
      <c r="P70" s="254"/>
      <c r="Q70" s="254"/>
    </row>
    <row r="71" spans="1:17" ht="15" customHeight="1" x14ac:dyDescent="0.25">
      <c r="A71" s="57">
        <v>3</v>
      </c>
      <c r="B71" s="57" t="s">
        <v>169</v>
      </c>
      <c r="C71" s="267" t="s">
        <v>254</v>
      </c>
      <c r="D71" s="268"/>
      <c r="E71" s="268"/>
      <c r="F71" s="268"/>
      <c r="G71" s="268"/>
      <c r="H71" s="268"/>
      <c r="I71" s="268"/>
      <c r="J71" s="268"/>
      <c r="K71" s="268"/>
      <c r="L71" s="268"/>
      <c r="M71" s="268"/>
      <c r="N71" s="269"/>
      <c r="O71" s="254"/>
      <c r="P71" s="254"/>
      <c r="Q71" s="254"/>
    </row>
    <row r="72" spans="1:17" ht="15" customHeight="1" x14ac:dyDescent="0.25">
      <c r="A72" s="57">
        <v>4</v>
      </c>
      <c r="B72" s="57" t="s">
        <v>170</v>
      </c>
      <c r="C72" s="267" t="s">
        <v>246</v>
      </c>
      <c r="D72" s="268"/>
      <c r="E72" s="268"/>
      <c r="F72" s="268"/>
      <c r="G72" s="268"/>
      <c r="H72" s="268"/>
      <c r="I72" s="268"/>
      <c r="J72" s="268"/>
      <c r="K72" s="268"/>
      <c r="L72" s="268"/>
      <c r="M72" s="268"/>
      <c r="N72" s="269"/>
      <c r="O72" s="254"/>
      <c r="P72" s="254"/>
      <c r="Q72" s="254"/>
    </row>
    <row r="73" spans="1:17" ht="15" customHeight="1" x14ac:dyDescent="0.25">
      <c r="A73" s="57">
        <v>5</v>
      </c>
      <c r="B73" s="57" t="s">
        <v>173</v>
      </c>
      <c r="C73" s="267" t="s">
        <v>247</v>
      </c>
      <c r="D73" s="268"/>
      <c r="E73" s="268"/>
      <c r="F73" s="268"/>
      <c r="G73" s="268"/>
      <c r="H73" s="268"/>
      <c r="I73" s="268"/>
      <c r="J73" s="268"/>
      <c r="K73" s="268"/>
      <c r="L73" s="268"/>
      <c r="M73" s="268"/>
      <c r="N73" s="269"/>
      <c r="O73" s="254"/>
      <c r="P73" s="254"/>
      <c r="Q73" s="254"/>
    </row>
    <row r="74" spans="1:17" ht="15" customHeight="1" x14ac:dyDescent="0.25">
      <c r="A74" s="57">
        <v>6</v>
      </c>
      <c r="B74" s="57" t="s">
        <v>177</v>
      </c>
      <c r="C74" s="267" t="s">
        <v>255</v>
      </c>
      <c r="D74" s="268"/>
      <c r="E74" s="268"/>
      <c r="F74" s="268"/>
      <c r="G74" s="268"/>
      <c r="H74" s="268"/>
      <c r="I74" s="268"/>
      <c r="J74" s="268"/>
      <c r="K74" s="268"/>
      <c r="L74" s="268"/>
      <c r="M74" s="268"/>
      <c r="N74" s="269"/>
      <c r="O74" s="254"/>
      <c r="P74" s="254"/>
      <c r="Q74" s="254"/>
    </row>
    <row r="75" spans="1:17" ht="15" customHeight="1" x14ac:dyDescent="0.25">
      <c r="A75" s="57">
        <v>7</v>
      </c>
      <c r="B75" s="57" t="s">
        <v>179</v>
      </c>
      <c r="C75" s="267" t="s">
        <v>248</v>
      </c>
      <c r="D75" s="268"/>
      <c r="E75" s="268"/>
      <c r="F75" s="268"/>
      <c r="G75" s="268"/>
      <c r="H75" s="268"/>
      <c r="I75" s="268"/>
      <c r="J75" s="268"/>
      <c r="K75" s="268"/>
      <c r="L75" s="268"/>
      <c r="M75" s="268"/>
      <c r="N75" s="269"/>
      <c r="O75" s="254"/>
      <c r="P75" s="254"/>
      <c r="Q75" s="254"/>
    </row>
    <row r="76" spans="1:17" ht="15" customHeight="1" x14ac:dyDescent="0.25">
      <c r="A76" s="57"/>
      <c r="B76" s="57"/>
      <c r="C76" s="267"/>
      <c r="D76" s="268"/>
      <c r="E76" s="268"/>
      <c r="F76" s="268"/>
      <c r="G76" s="268"/>
      <c r="H76" s="268"/>
      <c r="I76" s="268"/>
      <c r="J76" s="268"/>
      <c r="K76" s="268"/>
      <c r="L76" s="268"/>
      <c r="M76" s="268"/>
      <c r="N76" s="269"/>
      <c r="O76" s="254"/>
      <c r="P76" s="254"/>
      <c r="Q76" s="254"/>
    </row>
    <row r="77" spans="1:17" ht="15" customHeight="1" x14ac:dyDescent="0.25">
      <c r="A77" s="57"/>
      <c r="B77" s="57"/>
      <c r="C77" s="267"/>
      <c r="D77" s="268"/>
      <c r="E77" s="268"/>
      <c r="F77" s="268"/>
      <c r="G77" s="268"/>
      <c r="H77" s="268"/>
      <c r="I77" s="268"/>
      <c r="J77" s="268"/>
      <c r="K77" s="268"/>
      <c r="L77" s="268"/>
      <c r="M77" s="268"/>
      <c r="N77" s="269"/>
      <c r="O77" s="254"/>
      <c r="P77" s="254"/>
      <c r="Q77" s="254"/>
    </row>
    <row r="78" spans="1:17" ht="5.0999999999999996" customHeight="1" thickBot="1" x14ac:dyDescent="0.3">
      <c r="A78" s="254"/>
      <c r="B78" s="254"/>
      <c r="C78" s="254"/>
      <c r="D78" s="254"/>
      <c r="E78" s="254"/>
      <c r="F78" s="254"/>
      <c r="G78" s="254"/>
      <c r="H78" s="254"/>
      <c r="I78" s="254"/>
      <c r="J78" s="254"/>
      <c r="K78" s="254"/>
      <c r="L78" s="254"/>
      <c r="M78" s="254"/>
      <c r="N78" s="254"/>
      <c r="O78" s="254"/>
      <c r="P78" s="254"/>
      <c r="Q78" s="254"/>
    </row>
    <row r="79" spans="1:17" ht="20.100000000000001" customHeight="1" thickBot="1" x14ac:dyDescent="0.3">
      <c r="A79" s="270" t="s">
        <v>83</v>
      </c>
      <c r="B79" s="271"/>
      <c r="C79" s="254"/>
      <c r="D79" s="254"/>
      <c r="E79" s="254"/>
      <c r="F79" s="254"/>
      <c r="G79" s="254"/>
      <c r="H79" s="254"/>
      <c r="I79" s="254"/>
      <c r="J79" s="254"/>
      <c r="K79" s="254"/>
      <c r="L79" s="254"/>
      <c r="M79" s="254"/>
      <c r="N79" s="254"/>
      <c r="O79" s="254"/>
      <c r="P79" s="254"/>
      <c r="Q79" s="254"/>
    </row>
    <row r="80" spans="1:17" ht="15" customHeight="1" x14ac:dyDescent="0.25">
      <c r="A80" s="56">
        <v>1</v>
      </c>
      <c r="B80" s="56" t="s">
        <v>174</v>
      </c>
      <c r="C80" s="272"/>
      <c r="D80" s="273"/>
      <c r="E80" s="273"/>
      <c r="F80" s="273"/>
      <c r="G80" s="273"/>
      <c r="H80" s="273"/>
      <c r="I80" s="273"/>
      <c r="J80" s="273"/>
      <c r="K80" s="273"/>
      <c r="L80" s="273"/>
      <c r="M80" s="273"/>
      <c r="N80" s="274"/>
      <c r="O80" s="254"/>
      <c r="P80" s="254"/>
      <c r="Q80" s="254"/>
    </row>
    <row r="81" spans="1:17" ht="15" customHeight="1" x14ac:dyDescent="0.25">
      <c r="A81" s="57"/>
      <c r="B81" s="57"/>
      <c r="C81" s="267"/>
      <c r="D81" s="268"/>
      <c r="E81" s="268"/>
      <c r="F81" s="268"/>
      <c r="G81" s="268"/>
      <c r="H81" s="268"/>
      <c r="I81" s="268"/>
      <c r="J81" s="268"/>
      <c r="K81" s="268"/>
      <c r="L81" s="268"/>
      <c r="M81" s="268"/>
      <c r="N81" s="269"/>
      <c r="O81" s="254"/>
      <c r="P81" s="254"/>
      <c r="Q81" s="254"/>
    </row>
    <row r="82" spans="1:17" ht="15" customHeight="1" x14ac:dyDescent="0.25">
      <c r="A82" s="57"/>
      <c r="B82" s="57"/>
      <c r="C82" s="267"/>
      <c r="D82" s="268"/>
      <c r="E82" s="268"/>
      <c r="F82" s="268"/>
      <c r="G82" s="268"/>
      <c r="H82" s="268"/>
      <c r="I82" s="268"/>
      <c r="J82" s="268"/>
      <c r="K82" s="268"/>
      <c r="L82" s="268"/>
      <c r="M82" s="268"/>
      <c r="N82" s="269"/>
      <c r="O82" s="254"/>
      <c r="P82" s="254"/>
      <c r="Q82" s="254"/>
    </row>
    <row r="83" spans="1:17" ht="5.0999999999999996" customHeight="1" thickBot="1" x14ac:dyDescent="0.3">
      <c r="A83" s="254"/>
      <c r="B83" s="254"/>
      <c r="C83" s="254"/>
      <c r="D83" s="254"/>
      <c r="E83" s="254"/>
      <c r="F83" s="254"/>
      <c r="G83" s="254"/>
      <c r="H83" s="254"/>
      <c r="I83" s="254"/>
      <c r="J83" s="254"/>
      <c r="K83" s="254"/>
      <c r="L83" s="254"/>
      <c r="M83" s="254"/>
      <c r="N83" s="254"/>
      <c r="O83" s="254"/>
      <c r="P83" s="254"/>
      <c r="Q83" s="254"/>
    </row>
    <row r="84" spans="1:17" ht="20.100000000000001" customHeight="1" thickBot="1" x14ac:dyDescent="0.3">
      <c r="A84" s="270" t="s">
        <v>73</v>
      </c>
      <c r="B84" s="271"/>
      <c r="C84" s="254"/>
      <c r="D84" s="254"/>
      <c r="E84" s="254"/>
      <c r="F84" s="254"/>
      <c r="G84" s="254"/>
      <c r="H84" s="254"/>
      <c r="I84" s="254"/>
      <c r="J84" s="254"/>
      <c r="K84" s="254"/>
      <c r="L84" s="254"/>
      <c r="M84" s="254"/>
      <c r="N84" s="254"/>
      <c r="O84" s="254"/>
      <c r="P84" s="254"/>
      <c r="Q84" s="254"/>
    </row>
    <row r="85" spans="1:17" ht="15" customHeight="1" x14ac:dyDescent="0.25">
      <c r="A85" s="56">
        <v>1</v>
      </c>
      <c r="B85" s="56" t="s">
        <v>181</v>
      </c>
      <c r="C85" s="272"/>
      <c r="D85" s="273"/>
      <c r="E85" s="273"/>
      <c r="F85" s="273"/>
      <c r="G85" s="273"/>
      <c r="H85" s="273"/>
      <c r="I85" s="273"/>
      <c r="J85" s="273"/>
      <c r="K85" s="273"/>
      <c r="L85" s="273"/>
      <c r="M85" s="273"/>
      <c r="N85" s="274"/>
      <c r="O85" s="254"/>
      <c r="P85" s="254"/>
      <c r="Q85" s="254"/>
    </row>
    <row r="86" spans="1:17" ht="15" customHeight="1" x14ac:dyDescent="0.25">
      <c r="A86" s="57"/>
      <c r="B86" s="57"/>
      <c r="C86" s="267"/>
      <c r="D86" s="268"/>
      <c r="E86" s="268"/>
      <c r="F86" s="268"/>
      <c r="G86" s="268"/>
      <c r="H86" s="268"/>
      <c r="I86" s="268"/>
      <c r="J86" s="268"/>
      <c r="K86" s="268"/>
      <c r="L86" s="268"/>
      <c r="M86" s="268"/>
      <c r="N86" s="269"/>
      <c r="O86" s="254"/>
      <c r="P86" s="254"/>
      <c r="Q86" s="254"/>
    </row>
    <row r="87" spans="1:17" ht="15" customHeight="1" x14ac:dyDescent="0.25">
      <c r="A87" s="57"/>
      <c r="B87" s="57"/>
      <c r="C87" s="267"/>
      <c r="D87" s="268"/>
      <c r="E87" s="268"/>
      <c r="F87" s="268"/>
      <c r="G87" s="268"/>
      <c r="H87" s="268"/>
      <c r="I87" s="268"/>
      <c r="J87" s="268"/>
      <c r="K87" s="268"/>
      <c r="L87" s="268"/>
      <c r="M87" s="268"/>
      <c r="N87" s="269"/>
      <c r="O87" s="254"/>
      <c r="P87" s="254"/>
      <c r="Q87" s="254"/>
    </row>
    <row r="88" spans="1:17" ht="5.0999999999999996" customHeight="1" thickBot="1" x14ac:dyDescent="0.3">
      <c r="A88" s="254"/>
      <c r="B88" s="254"/>
      <c r="C88" s="254"/>
      <c r="D88" s="254"/>
      <c r="E88" s="254"/>
      <c r="F88" s="254"/>
      <c r="G88" s="254"/>
      <c r="H88" s="254"/>
      <c r="I88" s="254"/>
      <c r="J88" s="254"/>
      <c r="K88" s="254"/>
      <c r="L88" s="254"/>
      <c r="M88" s="254"/>
      <c r="N88" s="254"/>
      <c r="O88" s="254"/>
      <c r="P88" s="254"/>
      <c r="Q88" s="254"/>
    </row>
    <row r="89" spans="1:17" ht="20.100000000000001" customHeight="1" thickBot="1" x14ac:dyDescent="0.3">
      <c r="A89" s="270" t="s">
        <v>101</v>
      </c>
      <c r="B89" s="271"/>
      <c r="C89" s="254"/>
      <c r="D89" s="254"/>
      <c r="E89" s="254"/>
      <c r="F89" s="254"/>
      <c r="G89" s="254"/>
      <c r="H89" s="254"/>
      <c r="I89" s="254"/>
      <c r="J89" s="254"/>
      <c r="K89" s="254"/>
      <c r="L89" s="254"/>
      <c r="M89" s="254"/>
      <c r="N89" s="254"/>
      <c r="O89" s="254"/>
      <c r="P89" s="254"/>
      <c r="Q89" s="254"/>
    </row>
    <row r="90" spans="1:17" ht="15" customHeight="1" x14ac:dyDescent="0.25">
      <c r="A90" s="56">
        <v>1</v>
      </c>
      <c r="B90" s="56" t="s">
        <v>163</v>
      </c>
      <c r="C90" s="272"/>
      <c r="D90" s="273"/>
      <c r="E90" s="273"/>
      <c r="F90" s="273"/>
      <c r="G90" s="273"/>
      <c r="H90" s="273"/>
      <c r="I90" s="273"/>
      <c r="J90" s="273"/>
      <c r="K90" s="273"/>
      <c r="L90" s="273"/>
      <c r="M90" s="273"/>
      <c r="N90" s="274"/>
      <c r="O90" s="254"/>
      <c r="P90" s="254"/>
      <c r="Q90" s="254"/>
    </row>
    <row r="91" spans="1:17" ht="15" customHeight="1" x14ac:dyDescent="0.25">
      <c r="A91" s="57">
        <v>2</v>
      </c>
      <c r="B91" s="57" t="s">
        <v>166</v>
      </c>
      <c r="C91" s="267" t="s">
        <v>240</v>
      </c>
      <c r="D91" s="268"/>
      <c r="E91" s="268"/>
      <c r="F91" s="268"/>
      <c r="G91" s="268"/>
      <c r="H91" s="268"/>
      <c r="I91" s="268"/>
      <c r="J91" s="268"/>
      <c r="K91" s="268"/>
      <c r="L91" s="268"/>
      <c r="M91" s="268"/>
      <c r="N91" s="269"/>
      <c r="O91" s="254"/>
      <c r="P91" s="254"/>
      <c r="Q91" s="254"/>
    </row>
    <row r="92" spans="1:17" ht="15" customHeight="1" x14ac:dyDescent="0.25">
      <c r="A92" s="57">
        <v>3</v>
      </c>
      <c r="B92" s="57" t="s">
        <v>172</v>
      </c>
      <c r="C92" s="267"/>
      <c r="D92" s="268"/>
      <c r="E92" s="268"/>
      <c r="F92" s="268"/>
      <c r="G92" s="268"/>
      <c r="H92" s="268"/>
      <c r="I92" s="268"/>
      <c r="J92" s="268"/>
      <c r="K92" s="268"/>
      <c r="L92" s="268"/>
      <c r="M92" s="268"/>
      <c r="N92" s="269"/>
      <c r="O92" s="254"/>
      <c r="P92" s="254"/>
      <c r="Q92" s="254"/>
    </row>
    <row r="93" spans="1:17" ht="15" customHeight="1" x14ac:dyDescent="0.25">
      <c r="A93" s="57"/>
      <c r="B93" s="57"/>
      <c r="C93" s="267"/>
      <c r="D93" s="268"/>
      <c r="E93" s="268"/>
      <c r="F93" s="268"/>
      <c r="G93" s="268"/>
      <c r="H93" s="268"/>
      <c r="I93" s="268"/>
      <c r="J93" s="268"/>
      <c r="K93" s="268"/>
      <c r="L93" s="268"/>
      <c r="M93" s="268"/>
      <c r="N93" s="269"/>
      <c r="O93" s="254"/>
      <c r="P93" s="254"/>
      <c r="Q93" s="254"/>
    </row>
    <row r="94" spans="1:17" ht="15" customHeight="1" x14ac:dyDescent="0.25">
      <c r="A94" s="57"/>
      <c r="B94" s="57"/>
      <c r="C94" s="267"/>
      <c r="D94" s="268"/>
      <c r="E94" s="268"/>
      <c r="F94" s="268"/>
      <c r="G94" s="268"/>
      <c r="H94" s="268"/>
      <c r="I94" s="268"/>
      <c r="J94" s="268"/>
      <c r="K94" s="268"/>
      <c r="L94" s="268"/>
      <c r="M94" s="268"/>
      <c r="N94" s="269"/>
      <c r="O94" s="254"/>
      <c r="P94" s="254"/>
      <c r="Q94" s="254"/>
    </row>
    <row r="95" spans="1:17" ht="5.0999999999999996" customHeight="1" thickBot="1" x14ac:dyDescent="0.3">
      <c r="A95" s="254"/>
      <c r="B95" s="254"/>
      <c r="C95" s="254"/>
      <c r="D95" s="254"/>
      <c r="E95" s="254"/>
      <c r="F95" s="254"/>
      <c r="G95" s="254"/>
      <c r="H95" s="254"/>
      <c r="I95" s="254"/>
      <c r="J95" s="254"/>
      <c r="K95" s="254"/>
      <c r="L95" s="254"/>
      <c r="M95" s="254"/>
      <c r="N95" s="254"/>
      <c r="O95" s="254"/>
      <c r="P95" s="254"/>
      <c r="Q95" s="254"/>
    </row>
    <row r="96" spans="1:17" ht="20.100000000000001" customHeight="1" thickBot="1" x14ac:dyDescent="0.3">
      <c r="A96" s="270" t="s">
        <v>116</v>
      </c>
      <c r="B96" s="288"/>
      <c r="C96" s="254"/>
      <c r="D96" s="254"/>
      <c r="E96" s="254"/>
      <c r="F96" s="254"/>
      <c r="G96" s="254"/>
      <c r="H96" s="254"/>
      <c r="I96" s="254"/>
      <c r="J96" s="254"/>
      <c r="K96" s="254"/>
      <c r="L96" s="254"/>
      <c r="M96" s="254"/>
      <c r="N96" s="254"/>
      <c r="O96" s="254"/>
      <c r="P96" s="254"/>
      <c r="Q96" s="254"/>
    </row>
    <row r="97" spans="1:17" ht="15" customHeight="1" x14ac:dyDescent="0.25">
      <c r="A97" s="190"/>
      <c r="B97" s="189"/>
      <c r="C97" s="191"/>
      <c r="D97" s="191"/>
      <c r="E97" s="191"/>
      <c r="F97" s="191"/>
      <c r="G97" s="191"/>
      <c r="H97" s="191"/>
      <c r="I97" s="191"/>
      <c r="J97" s="191"/>
      <c r="K97" s="191"/>
      <c r="L97" s="191"/>
      <c r="M97" s="191"/>
      <c r="N97" s="192"/>
      <c r="O97" s="254"/>
      <c r="P97" s="254"/>
      <c r="Q97" s="254"/>
    </row>
    <row r="98" spans="1:17" ht="15" customHeight="1" x14ac:dyDescent="0.25">
      <c r="A98" s="190"/>
      <c r="B98" s="189"/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4"/>
      <c r="O98" s="254"/>
      <c r="P98" s="254"/>
      <c r="Q98" s="254"/>
    </row>
    <row r="99" spans="1:17" ht="15" customHeight="1" x14ac:dyDescent="0.25">
      <c r="A99" s="190"/>
      <c r="B99" s="189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4"/>
      <c r="O99" s="254"/>
      <c r="P99" s="254"/>
      <c r="Q99" s="254"/>
    </row>
    <row r="100" spans="1:17" ht="15" customHeight="1" x14ac:dyDescent="0.25">
      <c r="A100" s="190"/>
      <c r="B100" s="189"/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4"/>
      <c r="O100" s="254"/>
      <c r="P100" s="254"/>
      <c r="Q100" s="254"/>
    </row>
    <row r="101" spans="1:17" ht="15" customHeight="1" x14ac:dyDescent="0.25">
      <c r="A101" s="190"/>
      <c r="B101" s="189"/>
      <c r="C101" s="193"/>
      <c r="D101" s="193"/>
      <c r="E101" s="193"/>
      <c r="F101" s="193"/>
      <c r="G101" s="193"/>
      <c r="H101" s="193"/>
      <c r="I101" s="193"/>
      <c r="J101" s="193"/>
      <c r="K101" s="193"/>
      <c r="L101" s="193"/>
      <c r="M101" s="193"/>
      <c r="N101" s="194"/>
      <c r="O101" s="254"/>
      <c r="P101" s="254"/>
      <c r="Q101" s="254"/>
    </row>
    <row r="102" spans="1:17" ht="15" customHeight="1" x14ac:dyDescent="0.25">
      <c r="A102" s="190"/>
      <c r="B102" s="189"/>
      <c r="C102" s="193"/>
      <c r="D102" s="193"/>
      <c r="E102" s="193"/>
      <c r="F102" s="193"/>
      <c r="G102" s="193"/>
      <c r="H102" s="193"/>
      <c r="I102" s="193"/>
      <c r="J102" s="193"/>
      <c r="K102" s="193"/>
      <c r="L102" s="193"/>
      <c r="M102" s="193"/>
      <c r="N102" s="194"/>
      <c r="O102" s="254"/>
      <c r="P102" s="254"/>
      <c r="Q102" s="254"/>
    </row>
    <row r="103" spans="1:17" ht="15" customHeight="1" x14ac:dyDescent="0.25">
      <c r="A103" s="190"/>
      <c r="B103" s="189"/>
      <c r="C103" s="193"/>
      <c r="D103" s="193"/>
      <c r="E103" s="193"/>
      <c r="F103" s="193"/>
      <c r="G103" s="193"/>
      <c r="H103" s="193"/>
      <c r="I103" s="193"/>
      <c r="J103" s="193"/>
      <c r="K103" s="193"/>
      <c r="L103" s="193"/>
      <c r="M103" s="193"/>
      <c r="N103" s="194"/>
      <c r="O103" s="254"/>
      <c r="P103" s="254"/>
      <c r="Q103" s="254"/>
    </row>
    <row r="104" spans="1:17" ht="15" customHeight="1" x14ac:dyDescent="0.25">
      <c r="A104" s="190"/>
      <c r="B104" s="189"/>
      <c r="C104" s="193"/>
      <c r="D104" s="193"/>
      <c r="E104" s="193"/>
      <c r="F104" s="193"/>
      <c r="G104" s="193"/>
      <c r="H104" s="193"/>
      <c r="I104" s="193"/>
      <c r="J104" s="193"/>
      <c r="K104" s="193"/>
      <c r="L104" s="193"/>
      <c r="M104" s="193"/>
      <c r="N104" s="194"/>
      <c r="O104" s="254"/>
      <c r="P104" s="254"/>
      <c r="Q104" s="254"/>
    </row>
    <row r="105" spans="1:17" ht="15" customHeight="1" x14ac:dyDescent="0.25">
      <c r="A105" s="190"/>
      <c r="B105" s="189"/>
      <c r="C105" s="193"/>
      <c r="D105" s="193"/>
      <c r="E105" s="193"/>
      <c r="F105" s="193"/>
      <c r="G105" s="193"/>
      <c r="H105" s="193"/>
      <c r="I105" s="193"/>
      <c r="J105" s="193"/>
      <c r="K105" s="193"/>
      <c r="L105" s="193"/>
      <c r="M105" s="193"/>
      <c r="N105" s="194"/>
      <c r="O105" s="254"/>
      <c r="P105" s="254"/>
      <c r="Q105" s="254"/>
    </row>
    <row r="106" spans="1:17" ht="15" customHeight="1" x14ac:dyDescent="0.25">
      <c r="A106" s="190"/>
      <c r="B106" s="189"/>
      <c r="C106" s="193"/>
      <c r="D106" s="193"/>
      <c r="E106" s="193"/>
      <c r="F106" s="193"/>
      <c r="G106" s="193"/>
      <c r="H106" s="193"/>
      <c r="I106" s="193"/>
      <c r="J106" s="193"/>
      <c r="K106" s="193"/>
      <c r="L106" s="193"/>
      <c r="M106" s="193"/>
      <c r="N106" s="194"/>
      <c r="O106" s="254"/>
      <c r="P106" s="254"/>
      <c r="Q106" s="254"/>
    </row>
    <row r="107" spans="1:17" ht="15" customHeight="1" x14ac:dyDescent="0.25">
      <c r="A107" s="190"/>
      <c r="B107" s="189"/>
      <c r="C107" s="193"/>
      <c r="D107" s="193"/>
      <c r="E107" s="193"/>
      <c r="F107" s="193"/>
      <c r="G107" s="193"/>
      <c r="H107" s="193"/>
      <c r="I107" s="193"/>
      <c r="J107" s="193"/>
      <c r="K107" s="193"/>
      <c r="L107" s="193"/>
      <c r="M107" s="193"/>
      <c r="N107" s="194"/>
      <c r="O107" s="254"/>
      <c r="P107" s="254"/>
      <c r="Q107" s="254"/>
    </row>
    <row r="108" spans="1:17" ht="15" customHeight="1" x14ac:dyDescent="0.25">
      <c r="A108" s="190"/>
      <c r="B108" s="189"/>
      <c r="C108" s="193"/>
      <c r="D108" s="193"/>
      <c r="E108" s="193"/>
      <c r="F108" s="193"/>
      <c r="G108" s="193"/>
      <c r="H108" s="193"/>
      <c r="I108" s="193"/>
      <c r="J108" s="193"/>
      <c r="K108" s="193"/>
      <c r="L108" s="193"/>
      <c r="M108" s="193"/>
      <c r="N108" s="194"/>
      <c r="O108" s="254"/>
      <c r="P108" s="254"/>
      <c r="Q108" s="254"/>
    </row>
    <row r="109" spans="1:17" ht="15" customHeight="1" x14ac:dyDescent="0.25">
      <c r="A109" s="190"/>
      <c r="B109" s="189"/>
      <c r="C109" s="193"/>
      <c r="D109" s="193"/>
      <c r="E109" s="193"/>
      <c r="F109" s="193"/>
      <c r="G109" s="193"/>
      <c r="H109" s="193"/>
      <c r="I109" s="193"/>
      <c r="J109" s="193"/>
      <c r="K109" s="193"/>
      <c r="L109" s="193"/>
      <c r="M109" s="193"/>
      <c r="N109" s="194"/>
      <c r="O109" s="254"/>
      <c r="P109" s="254"/>
      <c r="Q109" s="254"/>
    </row>
    <row r="110" spans="1:17" ht="15" customHeight="1" x14ac:dyDescent="0.25">
      <c r="A110" s="190"/>
      <c r="B110" s="189"/>
      <c r="C110" s="193"/>
      <c r="D110" s="193"/>
      <c r="E110" s="193"/>
      <c r="F110" s="193"/>
      <c r="G110" s="193"/>
      <c r="H110" s="193"/>
      <c r="I110" s="193"/>
      <c r="J110" s="193"/>
      <c r="K110" s="193"/>
      <c r="L110" s="193"/>
      <c r="M110" s="193"/>
      <c r="N110" s="194"/>
      <c r="O110" s="254"/>
      <c r="P110" s="254"/>
      <c r="Q110" s="254"/>
    </row>
    <row r="111" spans="1:17" ht="15" customHeight="1" x14ac:dyDescent="0.25">
      <c r="A111" s="190"/>
      <c r="B111" s="189"/>
      <c r="C111" s="193"/>
      <c r="D111" s="193"/>
      <c r="E111" s="193"/>
      <c r="F111" s="193"/>
      <c r="G111" s="193"/>
      <c r="H111" s="193"/>
      <c r="I111" s="193"/>
      <c r="J111" s="193"/>
      <c r="K111" s="193"/>
      <c r="L111" s="193"/>
      <c r="M111" s="193"/>
      <c r="N111" s="194"/>
      <c r="O111" s="254"/>
      <c r="P111" s="254"/>
      <c r="Q111" s="254"/>
    </row>
    <row r="112" spans="1:17" ht="15" customHeight="1" x14ac:dyDescent="0.25">
      <c r="A112" s="190"/>
      <c r="B112" s="189"/>
      <c r="C112" s="193"/>
      <c r="D112" s="193"/>
      <c r="E112" s="193"/>
      <c r="F112" s="193"/>
      <c r="G112" s="193"/>
      <c r="H112" s="193"/>
      <c r="I112" s="193"/>
      <c r="J112" s="193"/>
      <c r="K112" s="193"/>
      <c r="L112" s="193"/>
      <c r="M112" s="193"/>
      <c r="N112" s="194"/>
      <c r="O112" s="254"/>
      <c r="P112" s="254"/>
      <c r="Q112" s="254"/>
    </row>
    <row r="113" spans="1:17" ht="15" customHeight="1" x14ac:dyDescent="0.25">
      <c r="A113" s="157"/>
      <c r="B113" s="168"/>
      <c r="C113" s="195"/>
      <c r="D113" s="195"/>
      <c r="E113" s="195"/>
      <c r="F113" s="195"/>
      <c r="G113" s="195"/>
      <c r="H113" s="195"/>
      <c r="I113" s="195"/>
      <c r="J113" s="195"/>
      <c r="K113" s="195"/>
      <c r="L113" s="195"/>
      <c r="M113" s="195"/>
      <c r="N113" s="196"/>
      <c r="O113" s="254"/>
      <c r="P113" s="254"/>
      <c r="Q113" s="254"/>
    </row>
    <row r="114" spans="1:17" ht="5.0999999999999996" customHeight="1" x14ac:dyDescent="0.25">
      <c r="A114" s="254"/>
      <c r="B114" s="254"/>
      <c r="C114" s="254"/>
      <c r="D114" s="254"/>
      <c r="E114" s="254"/>
      <c r="F114" s="254"/>
      <c r="G114" s="254"/>
      <c r="H114" s="254"/>
      <c r="I114" s="254"/>
      <c r="J114" s="254"/>
      <c r="K114" s="254"/>
      <c r="L114" s="254"/>
      <c r="M114" s="254"/>
      <c r="N114" s="254"/>
      <c r="O114" s="254"/>
      <c r="P114" s="254"/>
      <c r="Q114" s="254"/>
    </row>
    <row r="115" spans="1:17" ht="15" customHeight="1" x14ac:dyDescent="0.25">
      <c r="A115" s="285" t="s">
        <v>117</v>
      </c>
      <c r="B115" s="286"/>
      <c r="C115" s="287"/>
      <c r="D115" s="285" t="s">
        <v>118</v>
      </c>
      <c r="E115" s="286"/>
      <c r="F115" s="286"/>
      <c r="G115" s="286"/>
      <c r="H115" s="286"/>
      <c r="I115" s="287"/>
      <c r="J115" s="285" t="s">
        <v>119</v>
      </c>
      <c r="K115" s="286"/>
      <c r="L115" s="286"/>
      <c r="M115" s="286"/>
      <c r="N115" s="287"/>
      <c r="O115" s="254"/>
      <c r="P115" s="254"/>
      <c r="Q115" s="254"/>
    </row>
    <row r="116" spans="1:17" ht="15" customHeight="1" x14ac:dyDescent="0.25">
      <c r="A116" s="289" t="s">
        <v>250</v>
      </c>
      <c r="B116" s="290"/>
      <c r="C116" s="291"/>
      <c r="D116" s="289"/>
      <c r="E116" s="290"/>
      <c r="F116" s="290"/>
      <c r="G116" s="290"/>
      <c r="H116" s="290"/>
      <c r="I116" s="291"/>
      <c r="J116" s="289"/>
      <c r="K116" s="290"/>
      <c r="L116" s="290"/>
      <c r="M116" s="290"/>
      <c r="N116" s="291"/>
      <c r="O116" s="254"/>
      <c r="P116" s="254"/>
      <c r="Q116" s="254"/>
    </row>
    <row r="117" spans="1:17" ht="15" customHeight="1" x14ac:dyDescent="0.25">
      <c r="A117" s="292" t="s">
        <v>120</v>
      </c>
      <c r="B117" s="293"/>
      <c r="C117" s="294"/>
      <c r="D117" s="292" t="s">
        <v>120</v>
      </c>
      <c r="E117" s="293"/>
      <c r="F117" s="293"/>
      <c r="G117" s="293"/>
      <c r="H117" s="293"/>
      <c r="I117" s="294"/>
      <c r="J117" s="292" t="s">
        <v>120</v>
      </c>
      <c r="K117" s="293"/>
      <c r="L117" s="293"/>
      <c r="M117" s="293"/>
      <c r="N117" s="294"/>
      <c r="O117" s="254"/>
      <c r="P117" s="254"/>
      <c r="Q117" s="254"/>
    </row>
    <row r="118" spans="1:17" ht="15" customHeight="1" x14ac:dyDescent="0.25">
      <c r="A118" s="254"/>
      <c r="B118" s="254"/>
      <c r="C118" s="254"/>
      <c r="D118" s="254"/>
      <c r="E118" s="254"/>
      <c r="F118" s="254"/>
      <c r="G118" s="254"/>
      <c r="H118" s="254"/>
      <c r="I118" s="254"/>
      <c r="J118" s="254"/>
      <c r="K118" s="254"/>
      <c r="L118" s="254"/>
      <c r="M118" s="254"/>
      <c r="N118" s="254"/>
      <c r="O118" s="254"/>
      <c r="P118" s="254"/>
      <c r="Q118" s="254"/>
    </row>
    <row r="119" spans="1:17" ht="15" customHeight="1" x14ac:dyDescent="0.25">
      <c r="A119" s="254"/>
      <c r="B119" s="254"/>
      <c r="C119" s="254"/>
      <c r="D119" s="254"/>
      <c r="E119" s="254"/>
      <c r="F119" s="254"/>
      <c r="G119" s="254"/>
      <c r="H119" s="254"/>
      <c r="I119" s="254"/>
      <c r="J119" s="254"/>
      <c r="K119" s="254"/>
      <c r="L119" s="254"/>
      <c r="M119" s="254"/>
      <c r="N119" s="254"/>
      <c r="O119" s="254"/>
      <c r="P119" s="254"/>
      <c r="Q119" s="254"/>
    </row>
    <row r="120" spans="1:17" ht="15" customHeight="1" x14ac:dyDescent="0.25">
      <c r="A120" s="254"/>
      <c r="B120" s="254"/>
      <c r="C120" s="254"/>
      <c r="D120" s="254"/>
      <c r="E120" s="254"/>
      <c r="F120" s="254"/>
      <c r="G120" s="254"/>
      <c r="H120" s="254"/>
      <c r="I120" s="254"/>
      <c r="J120" s="254"/>
      <c r="K120" s="254"/>
      <c r="L120" s="254"/>
      <c r="M120" s="254"/>
      <c r="N120" s="254"/>
      <c r="O120" s="254"/>
      <c r="P120" s="254"/>
      <c r="Q120" s="254"/>
    </row>
  </sheetData>
  <mergeCells count="50">
    <mergeCell ref="A117:C117"/>
    <mergeCell ref="D117:I117"/>
    <mergeCell ref="J117:N117"/>
    <mergeCell ref="C81:N81"/>
    <mergeCell ref="A115:C115"/>
    <mergeCell ref="D115:I115"/>
    <mergeCell ref="J115:N115"/>
    <mergeCell ref="A96:B96"/>
    <mergeCell ref="A116:C116"/>
    <mergeCell ref="D116:I116"/>
    <mergeCell ref="J116:N116"/>
    <mergeCell ref="A68:B68"/>
    <mergeCell ref="C77:N77"/>
    <mergeCell ref="C73:N73"/>
    <mergeCell ref="C69:N69"/>
    <mergeCell ref="C70:N70"/>
    <mergeCell ref="C71:N71"/>
    <mergeCell ref="C72:N72"/>
    <mergeCell ref="C74:N74"/>
    <mergeCell ref="C75:N75"/>
    <mergeCell ref="C76:N76"/>
    <mergeCell ref="A54:B54"/>
    <mergeCell ref="D59:K59"/>
    <mergeCell ref="L59:N59"/>
    <mergeCell ref="C66:N66"/>
    <mergeCell ref="A64:B64"/>
    <mergeCell ref="D61:K61"/>
    <mergeCell ref="E62:F62"/>
    <mergeCell ref="I62:J62"/>
    <mergeCell ref="C65:N65"/>
    <mergeCell ref="A7:B7"/>
    <mergeCell ref="E1:J1"/>
    <mergeCell ref="D2:K2"/>
    <mergeCell ref="L2:N2"/>
    <mergeCell ref="D4:K4"/>
    <mergeCell ref="E5:F5"/>
    <mergeCell ref="I5:J5"/>
    <mergeCell ref="C82:N82"/>
    <mergeCell ref="A79:B79"/>
    <mergeCell ref="C87:N87"/>
    <mergeCell ref="A84:B84"/>
    <mergeCell ref="C94:N94"/>
    <mergeCell ref="A89:B89"/>
    <mergeCell ref="C90:N90"/>
    <mergeCell ref="C91:N91"/>
    <mergeCell ref="C92:N92"/>
    <mergeCell ref="C93:N93"/>
    <mergeCell ref="C85:N85"/>
    <mergeCell ref="C86:N86"/>
    <mergeCell ref="C80:N80"/>
  </mergeCells>
  <dataValidations count="1">
    <dataValidation type="list" allowBlank="1" showInputMessage="1" showErrorMessage="1" sqref="C2" xr:uid="{00000000-0002-0000-0200-000000000000}">
      <formula1>_Phasen</formula1>
    </dataValidation>
  </dataValidations>
  <pageMargins left="0.7" right="0.7" top="0.78740157499999996" bottom="0.78740157499999996" header="0.3" footer="0.3"/>
  <pageSetup paperSize="9" fitToHeight="0" orientation="portrait" r:id="rId1"/>
  <rowBreaks count="1" manualBreakCount="1">
    <brk id="57" max="16383" man="1"/>
  </rowBreaks>
  <colBreaks count="1" manualBreakCount="1">
    <brk id="13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8">
    <pageSetUpPr fitToPage="1"/>
  </sheetPr>
  <dimension ref="A1:AG38"/>
  <sheetViews>
    <sheetView showGridLines="0" topLeftCell="C1" zoomScaleNormal="100" zoomScaleSheetLayoutView="100" zoomScalePageLayoutView="80" workbookViewId="0">
      <pane ySplit="3" topLeftCell="A4" activePane="bottomLeft" state="frozen"/>
      <selection activeCell="C1" sqref="C1"/>
      <selection pane="bottomLeft" activeCell="V4" sqref="V4"/>
    </sheetView>
  </sheetViews>
  <sheetFormatPr baseColWidth="10" defaultColWidth="11.42578125" defaultRowHeight="14.25" customHeight="1" zeroHeight="1" x14ac:dyDescent="0.2"/>
  <cols>
    <col min="1" max="2" width="1.85546875" style="1" hidden="1" customWidth="1"/>
    <col min="3" max="3" width="9.28515625" style="1" customWidth="1"/>
    <col min="4" max="10" width="4.140625" style="1" customWidth="1"/>
    <col min="11" max="11" width="2.42578125" style="1" bestFit="1" customWidth="1"/>
    <col min="12" max="12" width="15.85546875" style="1" customWidth="1"/>
    <col min="13" max="13" width="29.5703125" style="1" bestFit="1" customWidth="1"/>
    <col min="14" max="15" width="9.5703125" style="1" bestFit="1" customWidth="1"/>
    <col min="16" max="16" width="6.140625" style="1" bestFit="1" customWidth="1"/>
    <col min="17" max="17" width="9.7109375" style="1" bestFit="1" customWidth="1"/>
    <col min="18" max="18" width="2.28515625" style="1" customWidth="1"/>
    <col min="19" max="19" width="18" style="1" customWidth="1"/>
    <col min="20" max="20" width="8.42578125" style="1" bestFit="1" customWidth="1"/>
    <col min="21" max="23" width="10.7109375" style="1" customWidth="1"/>
    <col min="24" max="24" width="12.85546875" style="1" customWidth="1"/>
    <col min="25" max="33" width="10.7109375" style="1" customWidth="1"/>
    <col min="34" max="34" width="5.7109375" style="1" customWidth="1"/>
    <col min="35" max="16384" width="11.42578125" style="1"/>
  </cols>
  <sheetData>
    <row r="1" spans="3:33" ht="15" customHeight="1" x14ac:dyDescent="0.2">
      <c r="C1" s="304" t="s">
        <v>0</v>
      </c>
      <c r="D1" s="304"/>
      <c r="E1" s="304"/>
      <c r="F1" s="304"/>
      <c r="G1" s="304"/>
      <c r="H1" s="304"/>
      <c r="I1" s="304"/>
      <c r="J1" s="304"/>
      <c r="K1" s="20"/>
      <c r="L1" s="304" t="s">
        <v>7</v>
      </c>
      <c r="M1" s="304"/>
      <c r="N1" s="304"/>
      <c r="O1" s="304"/>
      <c r="P1" s="304"/>
      <c r="Q1" s="304"/>
      <c r="R1" s="20"/>
      <c r="S1" s="306" t="s">
        <v>8</v>
      </c>
      <c r="T1" s="306"/>
      <c r="U1" s="306"/>
      <c r="X1" s="295" t="s">
        <v>9</v>
      </c>
    </row>
    <row r="2" spans="3:33" ht="14.25" customHeight="1" thickBot="1" x14ac:dyDescent="0.25">
      <c r="C2" s="305"/>
      <c r="D2" s="305"/>
      <c r="E2" s="305"/>
      <c r="F2" s="305"/>
      <c r="G2" s="305"/>
      <c r="H2" s="305"/>
      <c r="I2" s="305"/>
      <c r="J2" s="305"/>
      <c r="K2" s="21"/>
      <c r="L2" s="305"/>
      <c r="M2" s="305"/>
      <c r="N2" s="305"/>
      <c r="O2" s="305"/>
      <c r="P2" s="305"/>
      <c r="Q2" s="305"/>
      <c r="R2" s="21"/>
      <c r="S2" s="307"/>
      <c r="T2" s="307"/>
      <c r="U2" s="307"/>
      <c r="X2" s="296"/>
    </row>
    <row r="3" spans="3:33" ht="25.5" thickTop="1" thickBot="1" x14ac:dyDescent="0.25">
      <c r="C3" s="61" t="s">
        <v>10</v>
      </c>
      <c r="D3" s="62">
        <v>1</v>
      </c>
      <c r="E3" s="63">
        <v>2</v>
      </c>
      <c r="F3" s="63">
        <v>3</v>
      </c>
      <c r="G3" s="63">
        <v>4</v>
      </c>
      <c r="H3" s="63">
        <v>5</v>
      </c>
      <c r="I3" s="63">
        <v>6</v>
      </c>
      <c r="J3" s="64">
        <v>7</v>
      </c>
      <c r="K3" s="65"/>
      <c r="L3" s="66" t="s">
        <v>106</v>
      </c>
      <c r="M3" s="67" t="s">
        <v>11</v>
      </c>
      <c r="N3" s="68" t="s">
        <v>12</v>
      </c>
      <c r="O3" s="68" t="s">
        <v>13</v>
      </c>
      <c r="P3" s="69" t="s">
        <v>14</v>
      </c>
      <c r="Q3" s="70" t="s">
        <v>15</v>
      </c>
      <c r="R3" s="65"/>
      <c r="S3" s="66" t="s">
        <v>16</v>
      </c>
      <c r="T3" s="71" t="s">
        <v>17</v>
      </c>
      <c r="U3" s="72" t="s">
        <v>18</v>
      </c>
      <c r="V3" s="1" t="s">
        <v>19</v>
      </c>
      <c r="X3" s="2" t="s">
        <v>20</v>
      </c>
      <c r="AA3" s="3" t="s">
        <v>21</v>
      </c>
      <c r="AB3" s="3"/>
      <c r="AC3" s="3"/>
      <c r="AD3" s="3"/>
      <c r="AE3" s="3"/>
      <c r="AF3" s="3"/>
      <c r="AG3" s="3"/>
    </row>
    <row r="4" spans="3:33" ht="15" thickTop="1" x14ac:dyDescent="0.2">
      <c r="C4" s="73">
        <v>1</v>
      </c>
      <c r="D4" s="74" t="s">
        <v>22</v>
      </c>
      <c r="E4" s="75" t="s">
        <v>78</v>
      </c>
      <c r="F4" s="75" t="s">
        <v>79</v>
      </c>
      <c r="G4" s="76" t="s">
        <v>23</v>
      </c>
      <c r="H4" s="77" t="s">
        <v>24</v>
      </c>
      <c r="I4" s="78" t="s">
        <v>107</v>
      </c>
      <c r="J4" s="79" t="s">
        <v>107</v>
      </c>
      <c r="K4" s="80">
        <v>1</v>
      </c>
      <c r="L4" s="81" t="s">
        <v>22</v>
      </c>
      <c r="M4" s="82" t="s">
        <v>27</v>
      </c>
      <c r="N4" s="83">
        <v>0.25</v>
      </c>
      <c r="O4" s="83">
        <v>0.75</v>
      </c>
      <c r="P4" s="84">
        <v>0</v>
      </c>
      <c r="Q4" s="85">
        <v>0.5</v>
      </c>
      <c r="R4" s="80">
        <v>1</v>
      </c>
      <c r="S4" s="86" t="s">
        <v>28</v>
      </c>
      <c r="T4" s="87">
        <v>12</v>
      </c>
      <c r="U4" s="88" t="s">
        <v>29</v>
      </c>
      <c r="V4" s="4">
        <f>(T4*7)-7</f>
        <v>77</v>
      </c>
      <c r="X4" s="5">
        <v>41820</v>
      </c>
      <c r="AA4" s="3"/>
      <c r="AB4" s="3"/>
      <c r="AC4" s="3"/>
      <c r="AD4" s="3"/>
      <c r="AE4" s="3"/>
      <c r="AF4" s="3"/>
      <c r="AG4" s="3"/>
    </row>
    <row r="5" spans="3:33" x14ac:dyDescent="0.2">
      <c r="C5" s="89">
        <v>2</v>
      </c>
      <c r="D5" s="90" t="s">
        <v>30</v>
      </c>
      <c r="E5" s="91" t="s">
        <v>31</v>
      </c>
      <c r="F5" s="91" t="s">
        <v>78</v>
      </c>
      <c r="G5" s="91" t="s">
        <v>80</v>
      </c>
      <c r="H5" s="92" t="s">
        <v>32</v>
      </c>
      <c r="I5" s="93" t="s">
        <v>36</v>
      </c>
      <c r="J5" s="94" t="s">
        <v>33</v>
      </c>
      <c r="K5" s="80">
        <v>2</v>
      </c>
      <c r="L5" s="95" t="s">
        <v>31</v>
      </c>
      <c r="M5" s="96" t="s">
        <v>34</v>
      </c>
      <c r="N5" s="97">
        <v>0.29166666666666669</v>
      </c>
      <c r="O5" s="97">
        <v>0.79166666666666663</v>
      </c>
      <c r="P5" s="98">
        <v>0</v>
      </c>
      <c r="Q5" s="99">
        <v>0.5</v>
      </c>
      <c r="R5" s="80">
        <v>2</v>
      </c>
      <c r="S5" s="100" t="s">
        <v>35</v>
      </c>
      <c r="T5" s="101">
        <v>1</v>
      </c>
      <c r="U5" s="102" t="s">
        <v>29</v>
      </c>
      <c r="V5" s="4">
        <f t="shared" ref="V5:V33" si="0">(T5*7)-7</f>
        <v>0</v>
      </c>
      <c r="AA5" s="3"/>
      <c r="AB5" s="6"/>
      <c r="AC5" s="6"/>
      <c r="AD5" s="6"/>
      <c r="AE5" s="3"/>
      <c r="AF5" s="3"/>
      <c r="AG5" s="3"/>
    </row>
    <row r="6" spans="3:33" ht="15" thickBot="1" x14ac:dyDescent="0.25">
      <c r="C6" s="89">
        <v>3</v>
      </c>
      <c r="D6" s="90" t="s">
        <v>36</v>
      </c>
      <c r="E6" s="103" t="s">
        <v>24</v>
      </c>
      <c r="F6" s="91" t="s">
        <v>22</v>
      </c>
      <c r="G6" s="91" t="s">
        <v>78</v>
      </c>
      <c r="H6" s="104" t="s">
        <v>79</v>
      </c>
      <c r="I6" s="92" t="s">
        <v>23</v>
      </c>
      <c r="J6" s="94" t="s">
        <v>37</v>
      </c>
      <c r="K6" s="80">
        <v>3</v>
      </c>
      <c r="L6" s="105" t="s">
        <v>23</v>
      </c>
      <c r="M6" s="106" t="s">
        <v>38</v>
      </c>
      <c r="N6" s="97">
        <v>0.75</v>
      </c>
      <c r="O6" s="97">
        <v>0.25</v>
      </c>
      <c r="P6" s="98">
        <v>0</v>
      </c>
      <c r="Q6" s="99">
        <v>0.5</v>
      </c>
      <c r="R6" s="80">
        <v>3</v>
      </c>
      <c r="S6" s="100" t="s">
        <v>39</v>
      </c>
      <c r="T6" s="101">
        <v>8</v>
      </c>
      <c r="U6" s="102" t="s">
        <v>29</v>
      </c>
      <c r="V6" s="4">
        <f t="shared" si="0"/>
        <v>49</v>
      </c>
      <c r="X6" s="107" t="s">
        <v>40</v>
      </c>
      <c r="AA6" s="3"/>
      <c r="AB6" s="3"/>
      <c r="AC6" s="6"/>
      <c r="AD6" s="7"/>
      <c r="AE6" s="3"/>
      <c r="AF6" s="107" t="s">
        <v>41</v>
      </c>
      <c r="AG6" s="3"/>
    </row>
    <row r="7" spans="3:33" ht="15.75" thickTop="1" x14ac:dyDescent="0.25">
      <c r="C7" s="89">
        <v>4</v>
      </c>
      <c r="D7" s="90" t="s">
        <v>25</v>
      </c>
      <c r="E7" s="103" t="s">
        <v>26</v>
      </c>
      <c r="F7" s="103" t="s">
        <v>30</v>
      </c>
      <c r="G7" s="91" t="s">
        <v>31</v>
      </c>
      <c r="H7" s="104" t="s">
        <v>80</v>
      </c>
      <c r="I7" s="104" t="s">
        <v>79</v>
      </c>
      <c r="J7" s="108" t="s">
        <v>42</v>
      </c>
      <c r="K7" s="80">
        <v>4</v>
      </c>
      <c r="L7" s="105" t="s">
        <v>42</v>
      </c>
      <c r="M7" s="106" t="s">
        <v>43</v>
      </c>
      <c r="N7" s="97">
        <v>0.66666666666666663</v>
      </c>
      <c r="O7" s="97">
        <v>0.16666666666666666</v>
      </c>
      <c r="P7" s="98">
        <v>0</v>
      </c>
      <c r="Q7" s="99">
        <v>0.5</v>
      </c>
      <c r="R7" s="80">
        <v>4</v>
      </c>
      <c r="S7" s="100" t="s">
        <v>44</v>
      </c>
      <c r="T7" s="101">
        <v>14</v>
      </c>
      <c r="U7" s="102" t="s">
        <v>29</v>
      </c>
      <c r="V7" s="4">
        <f t="shared" si="0"/>
        <v>91</v>
      </c>
      <c r="X7" s="109">
        <f>P35</f>
        <v>43265</v>
      </c>
      <c r="AA7" s="3"/>
      <c r="AB7" s="3"/>
      <c r="AC7" s="6"/>
      <c r="AD7" s="8"/>
      <c r="AE7" s="3"/>
      <c r="AF7" s="110">
        <f>(X7+1)-X4+AA10</f>
        <v>1460</v>
      </c>
      <c r="AG7" s="3"/>
    </row>
    <row r="8" spans="3:33" x14ac:dyDescent="0.2">
      <c r="C8" s="89">
        <v>5</v>
      </c>
      <c r="D8" s="90" t="s">
        <v>45</v>
      </c>
      <c r="E8" s="103" t="s">
        <v>25</v>
      </c>
      <c r="F8" s="103" t="s">
        <v>33</v>
      </c>
      <c r="G8" s="103" t="s">
        <v>30</v>
      </c>
      <c r="H8" s="104" t="s">
        <v>22</v>
      </c>
      <c r="I8" s="104" t="s">
        <v>78</v>
      </c>
      <c r="J8" s="111" t="s">
        <v>80</v>
      </c>
      <c r="K8" s="80">
        <v>5</v>
      </c>
      <c r="L8" s="95" t="s">
        <v>81</v>
      </c>
      <c r="M8" s="96" t="s">
        <v>46</v>
      </c>
      <c r="N8" s="97">
        <v>0.25</v>
      </c>
      <c r="O8" s="97">
        <v>0.66666666666666663</v>
      </c>
      <c r="P8" s="98">
        <v>0</v>
      </c>
      <c r="Q8" s="99">
        <v>0.41666666666666669</v>
      </c>
      <c r="R8" s="80">
        <v>5</v>
      </c>
      <c r="S8" s="100" t="s">
        <v>47</v>
      </c>
      <c r="T8" s="101">
        <v>4</v>
      </c>
      <c r="U8" s="102" t="s">
        <v>29</v>
      </c>
      <c r="V8" s="4">
        <f t="shared" si="0"/>
        <v>21</v>
      </c>
      <c r="AA8" s="3"/>
      <c r="AB8" s="3"/>
      <c r="AC8" s="6"/>
      <c r="AD8" s="107" t="s">
        <v>48</v>
      </c>
      <c r="AE8" s="3"/>
      <c r="AF8" s="107" t="s">
        <v>49</v>
      </c>
      <c r="AG8" s="3"/>
    </row>
    <row r="9" spans="3:33" x14ac:dyDescent="0.2">
      <c r="C9" s="89">
        <v>6</v>
      </c>
      <c r="D9" s="112" t="s">
        <v>23</v>
      </c>
      <c r="E9" s="103" t="s">
        <v>45</v>
      </c>
      <c r="F9" s="103" t="s">
        <v>36</v>
      </c>
      <c r="G9" s="103" t="s">
        <v>26</v>
      </c>
      <c r="H9" s="104" t="s">
        <v>81</v>
      </c>
      <c r="I9" s="104" t="s">
        <v>31</v>
      </c>
      <c r="J9" s="111" t="s">
        <v>78</v>
      </c>
      <c r="K9" s="80">
        <v>6</v>
      </c>
      <c r="L9" s="95" t="s">
        <v>78</v>
      </c>
      <c r="M9" s="96" t="s">
        <v>50</v>
      </c>
      <c r="N9" s="97">
        <v>0.375</v>
      </c>
      <c r="O9" s="97">
        <v>0.79166666666666663</v>
      </c>
      <c r="P9" s="98">
        <v>0</v>
      </c>
      <c r="Q9" s="99">
        <v>0.41666666666666669</v>
      </c>
      <c r="R9" s="80">
        <v>6</v>
      </c>
      <c r="S9" s="113" t="s">
        <v>51</v>
      </c>
      <c r="T9" s="114">
        <v>3</v>
      </c>
      <c r="U9" s="115" t="s">
        <v>29</v>
      </c>
      <c r="V9" s="4">
        <f t="shared" si="0"/>
        <v>14</v>
      </c>
      <c r="X9" s="107" t="s">
        <v>16</v>
      </c>
      <c r="AA9" s="107" t="s">
        <v>52</v>
      </c>
      <c r="AB9" s="3"/>
      <c r="AC9" s="6"/>
      <c r="AD9" s="110">
        <f>COUNTA(C4:C33)</f>
        <v>16</v>
      </c>
      <c r="AE9" s="3"/>
      <c r="AF9" s="110">
        <f>AF7-((AD13-1)*AD11)</f>
        <v>4</v>
      </c>
      <c r="AG9" s="3"/>
    </row>
    <row r="10" spans="3:33" x14ac:dyDescent="0.2">
      <c r="C10" s="89">
        <v>7</v>
      </c>
      <c r="D10" s="116" t="s">
        <v>80</v>
      </c>
      <c r="E10" s="117" t="s">
        <v>42</v>
      </c>
      <c r="F10" s="103" t="s">
        <v>37</v>
      </c>
      <c r="G10" s="103" t="s">
        <v>25</v>
      </c>
      <c r="H10" s="93" t="s">
        <v>25</v>
      </c>
      <c r="I10" s="104" t="s">
        <v>81</v>
      </c>
      <c r="J10" s="111" t="s">
        <v>22</v>
      </c>
      <c r="K10" s="80">
        <v>7</v>
      </c>
      <c r="L10" s="95" t="s">
        <v>80</v>
      </c>
      <c r="M10" s="96" t="s">
        <v>53</v>
      </c>
      <c r="N10" s="97">
        <v>0.45833333333333331</v>
      </c>
      <c r="O10" s="97">
        <v>0.875</v>
      </c>
      <c r="P10" s="98">
        <v>0</v>
      </c>
      <c r="Q10" s="99">
        <v>0.41666666666666669</v>
      </c>
      <c r="R10" s="80">
        <v>7</v>
      </c>
      <c r="S10" s="113" t="s">
        <v>54</v>
      </c>
      <c r="T10" s="114">
        <v>16</v>
      </c>
      <c r="U10" s="115" t="s">
        <v>29</v>
      </c>
      <c r="V10" s="4">
        <f t="shared" si="0"/>
        <v>105</v>
      </c>
      <c r="X10" s="118" t="str">
        <f>M35</f>
        <v>21. EHu</v>
      </c>
      <c r="AA10" s="119">
        <f>DGET(nm_Dienststellenplan,"plus",X9:X10)</f>
        <v>14</v>
      </c>
      <c r="AB10" s="3"/>
      <c r="AC10" s="6"/>
      <c r="AD10" s="107" t="s">
        <v>55</v>
      </c>
      <c r="AE10" s="3"/>
      <c r="AF10" s="107" t="s">
        <v>10</v>
      </c>
      <c r="AG10" s="3"/>
    </row>
    <row r="11" spans="3:33" x14ac:dyDescent="0.2">
      <c r="C11" s="89">
        <v>8</v>
      </c>
      <c r="D11" s="116" t="s">
        <v>78</v>
      </c>
      <c r="E11" s="91" t="s">
        <v>80</v>
      </c>
      <c r="F11" s="117" t="s">
        <v>23</v>
      </c>
      <c r="G11" s="103" t="s">
        <v>37</v>
      </c>
      <c r="H11" s="120" t="s">
        <v>107</v>
      </c>
      <c r="I11" s="120" t="s">
        <v>107</v>
      </c>
      <c r="J11" s="121" t="s">
        <v>107</v>
      </c>
      <c r="K11" s="80">
        <v>8</v>
      </c>
      <c r="L11" s="95" t="s">
        <v>79</v>
      </c>
      <c r="M11" s="96" t="s">
        <v>56</v>
      </c>
      <c r="N11" s="97">
        <v>0.58333333333333337</v>
      </c>
      <c r="O11" s="97">
        <v>1</v>
      </c>
      <c r="P11" s="98">
        <v>0</v>
      </c>
      <c r="Q11" s="99">
        <v>0.41666666666666669</v>
      </c>
      <c r="R11" s="80">
        <v>8</v>
      </c>
      <c r="S11" s="113" t="s">
        <v>57</v>
      </c>
      <c r="T11" s="114">
        <v>2</v>
      </c>
      <c r="U11" s="115" t="s">
        <v>29</v>
      </c>
      <c r="V11" s="4">
        <f t="shared" si="0"/>
        <v>7</v>
      </c>
      <c r="AA11" s="3"/>
      <c r="AB11" s="3"/>
      <c r="AC11" s="6"/>
      <c r="AD11" s="110">
        <f>7*COUNTA(C4:C33)</f>
        <v>112</v>
      </c>
      <c r="AE11" s="3"/>
      <c r="AF11" s="110">
        <f>ROUNDUP(AF7/7-((AD13-1)*AD9),0)</f>
        <v>1</v>
      </c>
      <c r="AG11" s="3"/>
    </row>
    <row r="12" spans="3:33" x14ac:dyDescent="0.2">
      <c r="C12" s="89">
        <v>9</v>
      </c>
      <c r="D12" s="116" t="s">
        <v>31</v>
      </c>
      <c r="E12" s="91" t="s">
        <v>78</v>
      </c>
      <c r="F12" s="91" t="s">
        <v>80</v>
      </c>
      <c r="G12" s="117" t="s">
        <v>42</v>
      </c>
      <c r="H12" s="93" t="s">
        <v>30</v>
      </c>
      <c r="I12" s="93" t="s">
        <v>33</v>
      </c>
      <c r="J12" s="94" t="s">
        <v>36</v>
      </c>
      <c r="K12" s="80">
        <v>9</v>
      </c>
      <c r="L12" s="122" t="s">
        <v>32</v>
      </c>
      <c r="M12" s="123" t="s">
        <v>58</v>
      </c>
      <c r="N12" s="97">
        <v>0.75</v>
      </c>
      <c r="O12" s="97">
        <v>0.25</v>
      </c>
      <c r="P12" s="98">
        <v>0</v>
      </c>
      <c r="Q12" s="99">
        <v>0.41666666666666669</v>
      </c>
      <c r="R12" s="80">
        <v>9</v>
      </c>
      <c r="S12" s="113" t="s">
        <v>59</v>
      </c>
      <c r="T12" s="114">
        <v>15</v>
      </c>
      <c r="U12" s="115" t="s">
        <v>29</v>
      </c>
      <c r="V12" s="4">
        <f t="shared" si="0"/>
        <v>98</v>
      </c>
      <c r="AA12" s="124" t="s">
        <v>10</v>
      </c>
      <c r="AB12" s="124" t="s">
        <v>18</v>
      </c>
      <c r="AC12" s="6"/>
      <c r="AD12" s="107" t="s">
        <v>60</v>
      </c>
      <c r="AE12" s="3"/>
      <c r="AF12" s="107" t="s">
        <v>61</v>
      </c>
      <c r="AG12" s="3"/>
    </row>
    <row r="13" spans="3:33" x14ac:dyDescent="0.2">
      <c r="C13" s="89">
        <v>10</v>
      </c>
      <c r="D13" s="90" t="s">
        <v>24</v>
      </c>
      <c r="E13" s="91" t="s">
        <v>22</v>
      </c>
      <c r="F13" s="91" t="s">
        <v>80</v>
      </c>
      <c r="G13" s="91" t="s">
        <v>79</v>
      </c>
      <c r="H13" s="92" t="s">
        <v>23</v>
      </c>
      <c r="I13" s="93" t="s">
        <v>26</v>
      </c>
      <c r="J13" s="94" t="s">
        <v>25</v>
      </c>
      <c r="K13" s="80">
        <v>10</v>
      </c>
      <c r="L13" s="125" t="s">
        <v>33</v>
      </c>
      <c r="M13" s="126" t="s">
        <v>62</v>
      </c>
      <c r="N13" s="97">
        <v>0</v>
      </c>
      <c r="O13" s="97">
        <v>0</v>
      </c>
      <c r="P13" s="98">
        <v>0</v>
      </c>
      <c r="Q13" s="99">
        <v>0</v>
      </c>
      <c r="R13" s="80">
        <v>10</v>
      </c>
      <c r="S13" s="113" t="s">
        <v>63</v>
      </c>
      <c r="T13" s="114">
        <v>13</v>
      </c>
      <c r="U13" s="115" t="s">
        <v>29</v>
      </c>
      <c r="V13" s="4">
        <f t="shared" si="0"/>
        <v>84</v>
      </c>
      <c r="Z13" s="4"/>
      <c r="AA13" s="127">
        <f>AF11</f>
        <v>1</v>
      </c>
      <c r="AB13" s="127">
        <f>AF13</f>
        <v>4</v>
      </c>
      <c r="AC13" s="6"/>
      <c r="AD13" s="110">
        <f>ROUNDUP(AF7/AD11,0)</f>
        <v>14</v>
      </c>
      <c r="AE13" s="3"/>
      <c r="AF13" s="127">
        <f>IF(((AF9/7-ROUNDDOWN(AF9/7,0))*7)=0,7,ROUND(((AF9/7-ROUNDDOWN(AF9/7,0))*7),0))</f>
        <v>4</v>
      </c>
      <c r="AG13" s="3"/>
    </row>
    <row r="14" spans="3:33" x14ac:dyDescent="0.2">
      <c r="C14" s="89">
        <v>11</v>
      </c>
      <c r="D14" s="90" t="s">
        <v>26</v>
      </c>
      <c r="E14" s="103" t="s">
        <v>30</v>
      </c>
      <c r="F14" s="91" t="s">
        <v>31</v>
      </c>
      <c r="G14" s="91" t="s">
        <v>78</v>
      </c>
      <c r="H14" s="91" t="s">
        <v>79</v>
      </c>
      <c r="I14" s="117" t="s">
        <v>32</v>
      </c>
      <c r="J14" s="128" t="s">
        <v>24</v>
      </c>
      <c r="K14" s="80">
        <v>11</v>
      </c>
      <c r="L14" s="125" t="s">
        <v>25</v>
      </c>
      <c r="M14" s="126" t="s">
        <v>62</v>
      </c>
      <c r="N14" s="97">
        <v>0</v>
      </c>
      <c r="O14" s="97">
        <v>0</v>
      </c>
      <c r="P14" s="98">
        <v>0</v>
      </c>
      <c r="Q14" s="99">
        <v>0</v>
      </c>
      <c r="R14" s="80">
        <v>11</v>
      </c>
      <c r="S14" s="129" t="s">
        <v>108</v>
      </c>
      <c r="T14" s="130">
        <v>9</v>
      </c>
      <c r="U14" s="131" t="s">
        <v>29</v>
      </c>
      <c r="V14" s="4">
        <f t="shared" si="0"/>
        <v>56</v>
      </c>
      <c r="AA14" s="9"/>
      <c r="AB14" s="9"/>
      <c r="AC14" s="6"/>
      <c r="AD14" s="6"/>
      <c r="AE14" s="3"/>
      <c r="AF14" s="3"/>
      <c r="AG14" s="3"/>
    </row>
    <row r="15" spans="3:33" x14ac:dyDescent="0.2">
      <c r="C15" s="89">
        <v>12</v>
      </c>
      <c r="D15" s="90" t="s">
        <v>33</v>
      </c>
      <c r="E15" s="103" t="s">
        <v>36</v>
      </c>
      <c r="F15" s="103" t="s">
        <v>24</v>
      </c>
      <c r="G15" s="91" t="s">
        <v>22</v>
      </c>
      <c r="H15" s="91" t="s">
        <v>78</v>
      </c>
      <c r="I15" s="91" t="s">
        <v>79</v>
      </c>
      <c r="J15" s="132" t="s">
        <v>23</v>
      </c>
      <c r="K15" s="80">
        <v>12</v>
      </c>
      <c r="L15" s="125" t="s">
        <v>36</v>
      </c>
      <c r="M15" s="126" t="s">
        <v>62</v>
      </c>
      <c r="N15" s="97">
        <v>0</v>
      </c>
      <c r="O15" s="97">
        <v>0</v>
      </c>
      <c r="P15" s="98">
        <v>0</v>
      </c>
      <c r="Q15" s="99">
        <v>0</v>
      </c>
      <c r="R15" s="80">
        <v>12</v>
      </c>
      <c r="S15" s="129" t="s">
        <v>109</v>
      </c>
      <c r="T15" s="130">
        <v>5</v>
      </c>
      <c r="U15" s="131" t="s">
        <v>29</v>
      </c>
      <c r="V15" s="4">
        <f t="shared" si="0"/>
        <v>28</v>
      </c>
      <c r="AA15" s="3"/>
      <c r="AB15" s="3"/>
      <c r="AC15" s="6"/>
      <c r="AD15" s="6"/>
      <c r="AE15" s="3"/>
      <c r="AF15" s="3"/>
      <c r="AG15" s="3"/>
    </row>
    <row r="16" spans="3:33" x14ac:dyDescent="0.2">
      <c r="C16" s="89">
        <v>13</v>
      </c>
      <c r="D16" s="90" t="s">
        <v>37</v>
      </c>
      <c r="E16" s="103" t="s">
        <v>33</v>
      </c>
      <c r="F16" s="103" t="s">
        <v>26</v>
      </c>
      <c r="G16" s="91" t="s">
        <v>81</v>
      </c>
      <c r="H16" s="91" t="s">
        <v>31</v>
      </c>
      <c r="I16" s="91" t="s">
        <v>80</v>
      </c>
      <c r="J16" s="133" t="s">
        <v>79</v>
      </c>
      <c r="K16" s="80">
        <v>13</v>
      </c>
      <c r="L16" s="125" t="s">
        <v>26</v>
      </c>
      <c r="M16" s="126" t="s">
        <v>62</v>
      </c>
      <c r="N16" s="97">
        <v>0</v>
      </c>
      <c r="O16" s="97">
        <v>0</v>
      </c>
      <c r="P16" s="98">
        <v>0</v>
      </c>
      <c r="Q16" s="99">
        <v>0</v>
      </c>
      <c r="R16" s="80">
        <v>13</v>
      </c>
      <c r="S16" s="129" t="s">
        <v>110</v>
      </c>
      <c r="T16" s="130">
        <v>11</v>
      </c>
      <c r="U16" s="131" t="s">
        <v>29</v>
      </c>
      <c r="V16" s="4">
        <f t="shared" si="0"/>
        <v>70</v>
      </c>
      <c r="AA16" s="3"/>
      <c r="AB16" s="3"/>
      <c r="AC16" s="6"/>
      <c r="AD16" s="6"/>
      <c r="AE16" s="3"/>
      <c r="AF16" s="3"/>
      <c r="AG16" s="3"/>
    </row>
    <row r="17" spans="3:33" x14ac:dyDescent="0.2">
      <c r="C17" s="89">
        <v>14</v>
      </c>
      <c r="D17" s="112" t="s">
        <v>42</v>
      </c>
      <c r="E17" s="103" t="s">
        <v>37</v>
      </c>
      <c r="F17" s="103" t="s">
        <v>25</v>
      </c>
      <c r="G17" s="103" t="s">
        <v>33</v>
      </c>
      <c r="H17" s="103" t="s">
        <v>26</v>
      </c>
      <c r="I17" s="91" t="s">
        <v>22</v>
      </c>
      <c r="J17" s="133" t="s">
        <v>78</v>
      </c>
      <c r="K17" s="80">
        <v>14</v>
      </c>
      <c r="L17" s="125" t="s">
        <v>30</v>
      </c>
      <c r="M17" s="126" t="s">
        <v>62</v>
      </c>
      <c r="N17" s="97">
        <v>0</v>
      </c>
      <c r="O17" s="97">
        <v>0</v>
      </c>
      <c r="P17" s="98">
        <v>0</v>
      </c>
      <c r="Q17" s="99">
        <v>0</v>
      </c>
      <c r="R17" s="80">
        <v>14</v>
      </c>
      <c r="S17" s="129" t="s">
        <v>111</v>
      </c>
      <c r="T17" s="130">
        <v>7</v>
      </c>
      <c r="U17" s="131" t="s">
        <v>29</v>
      </c>
      <c r="V17" s="4">
        <f t="shared" si="0"/>
        <v>42</v>
      </c>
      <c r="AA17" s="3"/>
      <c r="AB17" s="10"/>
      <c r="AC17" s="6"/>
      <c r="AD17" s="6"/>
      <c r="AE17" s="3"/>
      <c r="AF17" s="3"/>
      <c r="AG17" s="3"/>
    </row>
    <row r="18" spans="3:33" x14ac:dyDescent="0.2">
      <c r="C18" s="89">
        <v>15</v>
      </c>
      <c r="D18" s="116" t="s">
        <v>79</v>
      </c>
      <c r="E18" s="117" t="s">
        <v>23</v>
      </c>
      <c r="F18" s="103" t="s">
        <v>45</v>
      </c>
      <c r="G18" s="103" t="s">
        <v>36</v>
      </c>
      <c r="H18" s="103" t="s">
        <v>36</v>
      </c>
      <c r="I18" s="91" t="s">
        <v>78</v>
      </c>
      <c r="J18" s="133" t="s">
        <v>31</v>
      </c>
      <c r="K18" s="80">
        <v>15</v>
      </c>
      <c r="L18" s="125" t="s">
        <v>24</v>
      </c>
      <c r="M18" s="126" t="s">
        <v>62</v>
      </c>
      <c r="N18" s="97">
        <v>0</v>
      </c>
      <c r="O18" s="97">
        <v>0</v>
      </c>
      <c r="P18" s="98">
        <v>0</v>
      </c>
      <c r="Q18" s="99">
        <v>0</v>
      </c>
      <c r="R18" s="80">
        <v>15</v>
      </c>
      <c r="S18" s="129" t="s">
        <v>112</v>
      </c>
      <c r="T18" s="130">
        <v>10</v>
      </c>
      <c r="U18" s="131" t="s">
        <v>29</v>
      </c>
      <c r="V18" s="4">
        <f t="shared" si="0"/>
        <v>63</v>
      </c>
      <c r="AC18" s="11"/>
      <c r="AD18" s="12"/>
    </row>
    <row r="19" spans="3:33" x14ac:dyDescent="0.2">
      <c r="C19" s="89">
        <v>16</v>
      </c>
      <c r="D19" s="116" t="s">
        <v>80</v>
      </c>
      <c r="E19" s="91" t="s">
        <v>79</v>
      </c>
      <c r="F19" s="117" t="s">
        <v>42</v>
      </c>
      <c r="G19" s="103" t="s">
        <v>24</v>
      </c>
      <c r="H19" s="103" t="s">
        <v>33</v>
      </c>
      <c r="I19" s="103" t="s">
        <v>25</v>
      </c>
      <c r="J19" s="128" t="s">
        <v>26</v>
      </c>
      <c r="K19" s="80">
        <v>16</v>
      </c>
      <c r="L19" s="125" t="s">
        <v>37</v>
      </c>
      <c r="M19" s="126" t="s">
        <v>62</v>
      </c>
      <c r="N19" s="97">
        <v>0</v>
      </c>
      <c r="O19" s="97">
        <v>0</v>
      </c>
      <c r="P19" s="98">
        <v>0</v>
      </c>
      <c r="Q19" s="99">
        <v>0</v>
      </c>
      <c r="R19" s="80">
        <v>16</v>
      </c>
      <c r="S19" s="129" t="s">
        <v>113</v>
      </c>
      <c r="T19" s="130">
        <v>6</v>
      </c>
      <c r="U19" s="131" t="s">
        <v>29</v>
      </c>
      <c r="V19" s="4">
        <f t="shared" si="0"/>
        <v>35</v>
      </c>
      <c r="AC19" s="11"/>
      <c r="AD19" s="13"/>
    </row>
    <row r="20" spans="3:33" x14ac:dyDescent="0.2">
      <c r="C20" s="134"/>
      <c r="D20" s="135"/>
      <c r="E20" s="136"/>
      <c r="F20" s="136"/>
      <c r="G20" s="136"/>
      <c r="H20" s="136"/>
      <c r="I20" s="136"/>
      <c r="J20" s="131"/>
      <c r="K20" s="80">
        <v>17</v>
      </c>
      <c r="L20" s="125" t="s">
        <v>45</v>
      </c>
      <c r="M20" s="126" t="s">
        <v>62</v>
      </c>
      <c r="N20" s="97">
        <v>0</v>
      </c>
      <c r="O20" s="97">
        <v>0</v>
      </c>
      <c r="P20" s="98">
        <v>0</v>
      </c>
      <c r="Q20" s="99">
        <v>0</v>
      </c>
      <c r="R20" s="80">
        <v>17</v>
      </c>
      <c r="S20" s="129"/>
      <c r="T20" s="130"/>
      <c r="U20" s="131"/>
      <c r="V20" s="4">
        <f t="shared" si="0"/>
        <v>-7</v>
      </c>
      <c r="AC20" s="11"/>
      <c r="AD20" s="11"/>
    </row>
    <row r="21" spans="3:33" x14ac:dyDescent="0.2">
      <c r="C21" s="134"/>
      <c r="D21" s="135"/>
      <c r="E21" s="136"/>
      <c r="F21" s="136"/>
      <c r="G21" s="136"/>
      <c r="H21" s="136"/>
      <c r="I21" s="136"/>
      <c r="J21" s="131"/>
      <c r="K21" s="80">
        <v>18</v>
      </c>
      <c r="L21" s="137" t="s">
        <v>107</v>
      </c>
      <c r="M21" s="138" t="s">
        <v>114</v>
      </c>
      <c r="N21" s="97">
        <v>0</v>
      </c>
      <c r="O21" s="97">
        <v>0</v>
      </c>
      <c r="P21" s="98">
        <v>0</v>
      </c>
      <c r="Q21" s="99">
        <v>0</v>
      </c>
      <c r="R21" s="80">
        <v>18</v>
      </c>
      <c r="S21" s="129"/>
      <c r="T21" s="130"/>
      <c r="U21" s="131"/>
      <c r="V21" s="4">
        <f t="shared" si="0"/>
        <v>-7</v>
      </c>
      <c r="Y21" s="4"/>
      <c r="AB21" s="12"/>
      <c r="AC21" s="11"/>
      <c r="AD21" s="11"/>
    </row>
    <row r="22" spans="3:33" x14ac:dyDescent="0.2">
      <c r="C22" s="134"/>
      <c r="D22" s="135"/>
      <c r="E22" s="136"/>
      <c r="F22" s="136"/>
      <c r="G22" s="136"/>
      <c r="H22" s="136"/>
      <c r="I22" s="136"/>
      <c r="J22" s="131"/>
      <c r="K22" s="80">
        <v>19</v>
      </c>
      <c r="L22" s="139"/>
      <c r="M22" s="140"/>
      <c r="N22" s="141"/>
      <c r="O22" s="141"/>
      <c r="P22" s="98"/>
      <c r="Q22" s="142" t="s">
        <v>121</v>
      </c>
      <c r="R22" s="80">
        <v>19</v>
      </c>
      <c r="S22" s="129"/>
      <c r="T22" s="130"/>
      <c r="U22" s="131"/>
      <c r="V22" s="4">
        <f t="shared" si="0"/>
        <v>-7</v>
      </c>
      <c r="AB22" s="12"/>
      <c r="AC22" s="14"/>
      <c r="AD22" s="11"/>
    </row>
    <row r="23" spans="3:33" x14ac:dyDescent="0.2">
      <c r="C23" s="134"/>
      <c r="D23" s="135"/>
      <c r="E23" s="136"/>
      <c r="F23" s="136"/>
      <c r="G23" s="136"/>
      <c r="H23" s="136"/>
      <c r="I23" s="136"/>
      <c r="J23" s="131"/>
      <c r="K23" s="80">
        <v>20</v>
      </c>
      <c r="L23" s="139"/>
      <c r="M23" s="140"/>
      <c r="N23" s="141"/>
      <c r="O23" s="141"/>
      <c r="P23" s="98"/>
      <c r="Q23" s="142" t="s">
        <v>121</v>
      </c>
      <c r="R23" s="80">
        <v>20</v>
      </c>
      <c r="S23" s="129"/>
      <c r="T23" s="130"/>
      <c r="U23" s="131"/>
      <c r="V23" s="4">
        <f t="shared" si="0"/>
        <v>-7</v>
      </c>
      <c r="AB23" s="12"/>
      <c r="AC23" s="13"/>
      <c r="AD23" s="11"/>
    </row>
    <row r="24" spans="3:33" x14ac:dyDescent="0.2">
      <c r="C24" s="134"/>
      <c r="D24" s="135"/>
      <c r="E24" s="136"/>
      <c r="F24" s="136"/>
      <c r="G24" s="136"/>
      <c r="H24" s="136"/>
      <c r="I24" s="136"/>
      <c r="J24" s="131"/>
      <c r="K24" s="80">
        <v>21</v>
      </c>
      <c r="L24" s="139"/>
      <c r="M24" s="140"/>
      <c r="N24" s="141"/>
      <c r="O24" s="141"/>
      <c r="P24" s="98"/>
      <c r="Q24" s="142"/>
      <c r="R24" s="80">
        <v>21</v>
      </c>
      <c r="S24" s="129"/>
      <c r="T24" s="130"/>
      <c r="U24" s="131"/>
      <c r="V24" s="4">
        <f t="shared" si="0"/>
        <v>-7</v>
      </c>
      <c r="AB24" s="12"/>
      <c r="AC24" s="11"/>
      <c r="AD24" s="11"/>
    </row>
    <row r="25" spans="3:33" x14ac:dyDescent="0.2">
      <c r="C25" s="134"/>
      <c r="D25" s="135"/>
      <c r="E25" s="136"/>
      <c r="F25" s="136"/>
      <c r="G25" s="136"/>
      <c r="H25" s="136"/>
      <c r="I25" s="136"/>
      <c r="J25" s="131"/>
      <c r="K25" s="80">
        <v>22</v>
      </c>
      <c r="L25" s="139"/>
      <c r="M25" s="140"/>
      <c r="N25" s="141"/>
      <c r="O25" s="141"/>
      <c r="P25" s="98"/>
      <c r="Q25" s="142"/>
      <c r="R25" s="80">
        <v>22</v>
      </c>
      <c r="S25" s="129"/>
      <c r="T25" s="130"/>
      <c r="U25" s="131"/>
      <c r="V25" s="4">
        <f t="shared" si="0"/>
        <v>-7</v>
      </c>
      <c r="Z25" s="15"/>
      <c r="AA25" s="15"/>
      <c r="AB25" s="12"/>
      <c r="AC25" s="11"/>
      <c r="AD25" s="11"/>
    </row>
    <row r="26" spans="3:33" x14ac:dyDescent="0.2">
      <c r="C26" s="134"/>
      <c r="D26" s="135"/>
      <c r="E26" s="136"/>
      <c r="F26" s="136"/>
      <c r="G26" s="136"/>
      <c r="H26" s="136"/>
      <c r="I26" s="136"/>
      <c r="J26" s="131"/>
      <c r="K26" s="80">
        <v>23</v>
      </c>
      <c r="L26" s="139"/>
      <c r="M26" s="140"/>
      <c r="N26" s="141"/>
      <c r="O26" s="141"/>
      <c r="P26" s="98"/>
      <c r="Q26" s="142"/>
      <c r="R26" s="80">
        <v>23</v>
      </c>
      <c r="S26" s="129"/>
      <c r="T26" s="130"/>
      <c r="U26" s="131"/>
      <c r="V26" s="4">
        <f t="shared" si="0"/>
        <v>-7</v>
      </c>
      <c r="Z26" s="15"/>
      <c r="AA26" s="15"/>
      <c r="AB26" s="15"/>
      <c r="AC26" s="11"/>
      <c r="AD26" s="11"/>
    </row>
    <row r="27" spans="3:33" x14ac:dyDescent="0.2">
      <c r="C27" s="134"/>
      <c r="D27" s="135"/>
      <c r="E27" s="136"/>
      <c r="F27" s="136"/>
      <c r="G27" s="136"/>
      <c r="H27" s="136"/>
      <c r="I27" s="136"/>
      <c r="J27" s="131"/>
      <c r="K27" s="80">
        <v>24</v>
      </c>
      <c r="L27" s="139"/>
      <c r="M27" s="140"/>
      <c r="N27" s="141"/>
      <c r="O27" s="141"/>
      <c r="P27" s="98"/>
      <c r="Q27" s="142"/>
      <c r="R27" s="80">
        <v>24</v>
      </c>
      <c r="S27" s="129"/>
      <c r="T27" s="130"/>
      <c r="U27" s="131"/>
      <c r="V27" s="4">
        <f t="shared" si="0"/>
        <v>-7</v>
      </c>
      <c r="AB27" s="15"/>
      <c r="AC27" s="11"/>
      <c r="AD27" s="11"/>
    </row>
    <row r="28" spans="3:33" x14ac:dyDescent="0.2">
      <c r="C28" s="134"/>
      <c r="D28" s="135"/>
      <c r="E28" s="136"/>
      <c r="F28" s="136"/>
      <c r="G28" s="136"/>
      <c r="H28" s="136"/>
      <c r="I28" s="136"/>
      <c r="J28" s="131"/>
      <c r="K28" s="80">
        <v>25</v>
      </c>
      <c r="L28" s="139"/>
      <c r="M28" s="140"/>
      <c r="N28" s="141"/>
      <c r="O28" s="141"/>
      <c r="P28" s="98"/>
      <c r="Q28" s="142"/>
      <c r="R28" s="80">
        <v>25</v>
      </c>
      <c r="S28" s="143"/>
      <c r="T28" s="130"/>
      <c r="U28" s="131"/>
      <c r="V28" s="4">
        <f t="shared" si="0"/>
        <v>-7</v>
      </c>
      <c r="AB28" s="11"/>
      <c r="AC28" s="11"/>
      <c r="AD28" s="11"/>
    </row>
    <row r="29" spans="3:33" x14ac:dyDescent="0.2">
      <c r="C29" s="134"/>
      <c r="D29" s="135"/>
      <c r="E29" s="136"/>
      <c r="F29" s="136"/>
      <c r="G29" s="136"/>
      <c r="H29" s="136"/>
      <c r="I29" s="136"/>
      <c r="J29" s="131"/>
      <c r="K29" s="80">
        <v>26</v>
      </c>
      <c r="L29" s="139"/>
      <c r="M29" s="140"/>
      <c r="N29" s="141"/>
      <c r="O29" s="141"/>
      <c r="P29" s="98"/>
      <c r="Q29" s="142"/>
      <c r="R29" s="80">
        <v>26</v>
      </c>
      <c r="S29" s="143"/>
      <c r="T29" s="130"/>
      <c r="U29" s="131"/>
      <c r="V29" s="4">
        <f t="shared" si="0"/>
        <v>-7</v>
      </c>
    </row>
    <row r="30" spans="3:33" x14ac:dyDescent="0.2">
      <c r="C30" s="134"/>
      <c r="D30" s="135"/>
      <c r="E30" s="136"/>
      <c r="F30" s="136"/>
      <c r="G30" s="136"/>
      <c r="H30" s="136"/>
      <c r="I30" s="136"/>
      <c r="J30" s="131"/>
      <c r="K30" s="80">
        <v>27</v>
      </c>
      <c r="L30" s="139"/>
      <c r="M30" s="140"/>
      <c r="N30" s="141"/>
      <c r="O30" s="141"/>
      <c r="P30" s="98"/>
      <c r="Q30" s="142"/>
      <c r="R30" s="80">
        <v>27</v>
      </c>
      <c r="S30" s="143"/>
      <c r="T30" s="130"/>
      <c r="U30" s="131"/>
      <c r="V30" s="4">
        <f t="shared" si="0"/>
        <v>-7</v>
      </c>
    </row>
    <row r="31" spans="3:33" x14ac:dyDescent="0.2">
      <c r="C31" s="134"/>
      <c r="D31" s="135"/>
      <c r="E31" s="136"/>
      <c r="F31" s="136"/>
      <c r="G31" s="136"/>
      <c r="H31" s="136"/>
      <c r="I31" s="136"/>
      <c r="J31" s="131"/>
      <c r="K31" s="80">
        <v>28</v>
      </c>
      <c r="L31" s="139"/>
      <c r="M31" s="140"/>
      <c r="N31" s="141"/>
      <c r="O31" s="141"/>
      <c r="P31" s="98"/>
      <c r="Q31" s="142"/>
      <c r="R31" s="80">
        <v>28</v>
      </c>
      <c r="S31" s="143"/>
      <c r="T31" s="130"/>
      <c r="U31" s="131"/>
      <c r="V31" s="4">
        <f t="shared" si="0"/>
        <v>-7</v>
      </c>
    </row>
    <row r="32" spans="3:33" x14ac:dyDescent="0.2">
      <c r="C32" s="134"/>
      <c r="D32" s="135"/>
      <c r="E32" s="136"/>
      <c r="F32" s="136"/>
      <c r="G32" s="136"/>
      <c r="H32" s="136"/>
      <c r="I32" s="136"/>
      <c r="J32" s="131"/>
      <c r="K32" s="80">
        <v>29</v>
      </c>
      <c r="L32" s="139"/>
      <c r="M32" s="140"/>
      <c r="N32" s="141"/>
      <c r="O32" s="141"/>
      <c r="P32" s="98"/>
      <c r="Q32" s="142" t="s">
        <v>121</v>
      </c>
      <c r="R32" s="80">
        <v>29</v>
      </c>
      <c r="S32" s="143"/>
      <c r="T32" s="130"/>
      <c r="U32" s="131"/>
      <c r="V32" s="4">
        <f t="shared" si="0"/>
        <v>-7</v>
      </c>
    </row>
    <row r="33" spans="3:22" x14ac:dyDescent="0.2">
      <c r="C33" s="144"/>
      <c r="D33" s="145"/>
      <c r="E33" s="146"/>
      <c r="F33" s="146"/>
      <c r="G33" s="146"/>
      <c r="H33" s="146"/>
      <c r="I33" s="146"/>
      <c r="J33" s="147"/>
      <c r="K33" s="80">
        <v>30</v>
      </c>
      <c r="L33" s="148"/>
      <c r="M33" s="149"/>
      <c r="N33" s="150"/>
      <c r="O33" s="150"/>
      <c r="P33" s="151"/>
      <c r="Q33" s="152" t="s">
        <v>121</v>
      </c>
      <c r="R33" s="80">
        <v>30</v>
      </c>
      <c r="S33" s="153"/>
      <c r="T33" s="154"/>
      <c r="U33" s="147"/>
      <c r="V33" s="4">
        <f t="shared" si="0"/>
        <v>-7</v>
      </c>
    </row>
    <row r="34" spans="3:22" ht="5.0999999999999996" customHeight="1" x14ac:dyDescent="0.2"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</row>
    <row r="35" spans="3:22" ht="15" customHeight="1" x14ac:dyDescent="0.2">
      <c r="C35" s="297" t="s">
        <v>12</v>
      </c>
      <c r="D35" s="297"/>
      <c r="E35" s="65"/>
      <c r="F35" s="298">
        <v>41821</v>
      </c>
      <c r="G35" s="298"/>
      <c r="H35" s="298"/>
      <c r="I35" s="298"/>
      <c r="J35" s="298"/>
      <c r="K35" s="65"/>
      <c r="L35" s="299" t="s">
        <v>64</v>
      </c>
      <c r="M35" s="300" t="s">
        <v>51</v>
      </c>
      <c r="N35" s="301" t="s">
        <v>65</v>
      </c>
      <c r="O35" s="301"/>
      <c r="P35" s="302">
        <v>43265</v>
      </c>
      <c r="Q35" s="302"/>
      <c r="R35" s="155"/>
      <c r="S35" s="299" t="s">
        <v>66</v>
      </c>
      <c r="T35" s="303" t="str">
        <f>IF(AB13=1,DGET(nm_Dienstplan,"1",AA12:AA13),IF(AB13=2,DGET(nm_Dienstplan,"2",AA12:AA13),IF(AB13=3,DGET(nm_Dienstplan,"3",AA12:AA13),IF(AB13=4,DGET(nm_Dienstplan,"4",AA12:AA13),IF(AB13=5,DGET(nm_Dienstplan,"5",AA12:AA13),IF(AB13=6,DGET(nm_Dienstplan,"6",AA12:AA13),IF(AB13=7,DGET(nm_Dienstplan,"7",AA12:AA13),"Fehler: " &amp; AB13)))))))</f>
        <v>N</v>
      </c>
      <c r="U35" s="303"/>
    </row>
    <row r="36" spans="3:22" ht="15" customHeight="1" x14ac:dyDescent="0.2">
      <c r="C36" s="297"/>
      <c r="D36" s="297"/>
      <c r="E36" s="65"/>
      <c r="F36" s="298"/>
      <c r="G36" s="298"/>
      <c r="H36" s="298"/>
      <c r="I36" s="298"/>
      <c r="J36" s="298"/>
      <c r="K36" s="65"/>
      <c r="L36" s="299"/>
      <c r="M36" s="300"/>
      <c r="N36" s="301"/>
      <c r="O36" s="301"/>
      <c r="P36" s="302"/>
      <c r="Q36" s="302"/>
      <c r="R36" s="156"/>
      <c r="S36" s="299"/>
      <c r="T36" s="303"/>
      <c r="U36" s="303"/>
    </row>
    <row r="37" spans="3:22" hidden="1" x14ac:dyDescent="0.2">
      <c r="C37" s="16"/>
      <c r="D37" s="17"/>
    </row>
    <row r="38" spans="3:22" hidden="1" x14ac:dyDescent="0.2">
      <c r="C38" s="18"/>
      <c r="D38" s="17"/>
    </row>
  </sheetData>
  <sheetProtection selectLockedCells="1"/>
  <mergeCells count="12">
    <mergeCell ref="X1:X2"/>
    <mergeCell ref="C35:D36"/>
    <mergeCell ref="F35:J36"/>
    <mergeCell ref="L35:L36"/>
    <mergeCell ref="M35:M36"/>
    <mergeCell ref="N35:O36"/>
    <mergeCell ref="P35:Q36"/>
    <mergeCell ref="S35:S36"/>
    <mergeCell ref="T35:U36"/>
    <mergeCell ref="C1:J2"/>
    <mergeCell ref="L1:Q2"/>
    <mergeCell ref="S1:U2"/>
  </mergeCells>
  <conditionalFormatting sqref="Q22:Q33">
    <cfRule type="cellIs" priority="10" stopIfTrue="1" operator="between">
      <formula>0</formula>
      <formula>2330</formula>
    </cfRule>
  </conditionalFormatting>
  <conditionalFormatting sqref="N22:N33">
    <cfRule type="cellIs" priority="12" stopIfTrue="1" operator="between">
      <formula>0</formula>
      <formula>2330</formula>
    </cfRule>
  </conditionalFormatting>
  <conditionalFormatting sqref="O22:O33">
    <cfRule type="cellIs" priority="11" stopIfTrue="1" operator="between">
      <formula>0</formula>
      <formula>2330</formula>
    </cfRule>
  </conditionalFormatting>
  <conditionalFormatting sqref="N4">
    <cfRule type="cellIs" priority="9" stopIfTrue="1" operator="between">
      <formula>0</formula>
      <formula>2330</formula>
    </cfRule>
  </conditionalFormatting>
  <conditionalFormatting sqref="O4">
    <cfRule type="cellIs" priority="8" stopIfTrue="1" operator="between">
      <formula>0</formula>
      <formula>2330</formula>
    </cfRule>
  </conditionalFormatting>
  <conditionalFormatting sqref="Q4">
    <cfRule type="cellIs" priority="7" stopIfTrue="1" operator="between">
      <formula>0</formula>
      <formula>2330</formula>
    </cfRule>
  </conditionalFormatting>
  <conditionalFormatting sqref="N5">
    <cfRule type="cellIs" priority="6" stopIfTrue="1" operator="between">
      <formula>0</formula>
      <formula>2330</formula>
    </cfRule>
  </conditionalFormatting>
  <conditionalFormatting sqref="O5">
    <cfRule type="cellIs" priority="5" stopIfTrue="1" operator="between">
      <formula>0</formula>
      <formula>2330</formula>
    </cfRule>
  </conditionalFormatting>
  <conditionalFormatting sqref="N6:N21">
    <cfRule type="cellIs" priority="4" stopIfTrue="1" operator="between">
      <formula>0</formula>
      <formula>2330</formula>
    </cfRule>
  </conditionalFormatting>
  <conditionalFormatting sqref="O6:O21">
    <cfRule type="cellIs" priority="3" stopIfTrue="1" operator="between">
      <formula>0</formula>
      <formula>2330</formula>
    </cfRule>
  </conditionalFormatting>
  <conditionalFormatting sqref="Q5">
    <cfRule type="cellIs" priority="2" stopIfTrue="1" operator="between">
      <formula>0</formula>
      <formula>2330</formula>
    </cfRule>
  </conditionalFormatting>
  <conditionalFormatting sqref="Q6:Q21">
    <cfRule type="cellIs" priority="1" stopIfTrue="1" operator="between">
      <formula>0</formula>
      <formula>2330</formula>
    </cfRule>
  </conditionalFormatting>
  <dataValidations count="2">
    <dataValidation type="list" allowBlank="1" showInputMessage="1" showErrorMessage="1" sqref="M35:M36" xr:uid="{00000000-0002-0000-0300-000000000000}">
      <formula1>$S$4:$S$19</formula1>
    </dataValidation>
    <dataValidation type="date" operator="greaterThanOrEqual" allowBlank="1" showInputMessage="1" showErrorMessage="1" sqref="P35" xr:uid="{00000000-0002-0000-0300-000001000000}">
      <formula1>F35</formula1>
    </dataValidation>
  </dataValidations>
  <pageMargins left="0.70866141732283472" right="0.70866141732283472" top="0.78740157480314965" bottom="0.78740157480314965" header="0.31496062992125984" footer="0.31496062992125984"/>
  <pageSetup paperSize="9" scale="81" orientation="landscape" horizontalDpi="300" r:id="rId1"/>
  <headerFooter>
    <oddHeader>&amp;R&amp;D&amp;LDienststelle: 21. EHu_x000D_Bearbeiter: 24225132</oddHeader>
    <oddFooter>&amp;L&amp;"Arial,Standard"&amp;12Rückfragen über 1./ 2. BPA 12 oder Dir ZA St 15&amp;7
&amp;Z&amp;F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H11"/>
  <sheetViews>
    <sheetView workbookViewId="0">
      <selection activeCell="E2" sqref="E2"/>
    </sheetView>
  </sheetViews>
  <sheetFormatPr baseColWidth="10" defaultRowHeight="15" x14ac:dyDescent="0.25"/>
  <cols>
    <col min="1" max="1" width="12.7109375" customWidth="1"/>
    <col min="2" max="8" width="10.7109375" customWidth="1"/>
  </cols>
  <sheetData>
    <row r="1" spans="1:8" ht="32.1" customHeight="1" thickBot="1" x14ac:dyDescent="0.3">
      <c r="A1" s="308" t="s">
        <v>202</v>
      </c>
      <c r="B1" s="309"/>
      <c r="C1" s="309"/>
      <c r="D1" s="309"/>
      <c r="E1" s="309"/>
      <c r="F1" s="309"/>
      <c r="G1" s="309"/>
      <c r="H1" s="310"/>
    </row>
    <row r="2" spans="1:8" ht="32.1" customHeight="1" thickBot="1" x14ac:dyDescent="0.3">
      <c r="A2" s="38"/>
      <c r="B2" s="38"/>
      <c r="C2" s="38"/>
      <c r="D2" s="39" t="s">
        <v>85</v>
      </c>
      <c r="E2" s="38" t="s">
        <v>243</v>
      </c>
      <c r="F2" s="38"/>
      <c r="G2" s="38"/>
      <c r="H2" s="38"/>
    </row>
    <row r="3" spans="1:8" ht="18" customHeight="1" x14ac:dyDescent="0.25">
      <c r="A3" s="40"/>
      <c r="B3" s="41" t="s">
        <v>86</v>
      </c>
      <c r="C3" s="41" t="s">
        <v>87</v>
      </c>
      <c r="D3" s="41" t="s">
        <v>88</v>
      </c>
      <c r="E3" s="41" t="s">
        <v>89</v>
      </c>
      <c r="F3" s="41" t="s">
        <v>90</v>
      </c>
      <c r="G3" s="41" t="s">
        <v>91</v>
      </c>
      <c r="H3" s="42" t="s">
        <v>92</v>
      </c>
    </row>
    <row r="4" spans="1:8" ht="18" customHeight="1" thickBot="1" x14ac:dyDescent="0.3">
      <c r="A4" s="43"/>
      <c r="B4" s="44" t="str">
        <f>E2</f>
        <v>02.07.18</v>
      </c>
      <c r="C4" s="44">
        <f t="shared" ref="C4:H4" si="0">B4+1</f>
        <v>43284</v>
      </c>
      <c r="D4" s="44">
        <f t="shared" si="0"/>
        <v>43285</v>
      </c>
      <c r="E4" s="44">
        <f t="shared" si="0"/>
        <v>43286</v>
      </c>
      <c r="F4" s="44">
        <f t="shared" si="0"/>
        <v>43287</v>
      </c>
      <c r="G4" s="44">
        <f t="shared" si="0"/>
        <v>43288</v>
      </c>
      <c r="H4" s="45">
        <f t="shared" si="0"/>
        <v>43289</v>
      </c>
    </row>
    <row r="5" spans="1:8" ht="18" customHeight="1" thickTop="1" x14ac:dyDescent="0.25">
      <c r="A5" s="43" t="s">
        <v>93</v>
      </c>
      <c r="B5" s="165" t="s">
        <v>242</v>
      </c>
      <c r="C5" s="166" t="s">
        <v>241</v>
      </c>
      <c r="D5" s="166" t="s">
        <v>241</v>
      </c>
      <c r="E5" s="166" t="s">
        <v>225</v>
      </c>
      <c r="F5" s="166" t="s">
        <v>244</v>
      </c>
      <c r="G5" s="166" t="s">
        <v>242</v>
      </c>
      <c r="H5" s="167" t="s">
        <v>242</v>
      </c>
    </row>
    <row r="6" spans="1:8" ht="18" customHeight="1" x14ac:dyDescent="0.25">
      <c r="A6" s="43" t="s">
        <v>82</v>
      </c>
      <c r="B6" s="46">
        <v>2</v>
      </c>
      <c r="C6" s="50">
        <v>2</v>
      </c>
      <c r="D6" s="50">
        <v>2</v>
      </c>
      <c r="E6" s="50">
        <v>2</v>
      </c>
      <c r="F6" s="50">
        <v>3</v>
      </c>
      <c r="G6" s="50">
        <v>2</v>
      </c>
      <c r="H6" s="47">
        <v>2</v>
      </c>
    </row>
    <row r="7" spans="1:8" ht="18" customHeight="1" x14ac:dyDescent="0.25">
      <c r="A7" s="43" t="s">
        <v>115</v>
      </c>
      <c r="B7" s="46">
        <v>0</v>
      </c>
      <c r="C7" s="50">
        <v>0</v>
      </c>
      <c r="D7" s="50">
        <v>0</v>
      </c>
      <c r="E7" s="50">
        <v>0</v>
      </c>
      <c r="F7" s="50">
        <v>0</v>
      </c>
      <c r="G7" s="50">
        <v>0</v>
      </c>
      <c r="H7" s="47">
        <v>0</v>
      </c>
    </row>
    <row r="8" spans="1:8" ht="18" customHeight="1" x14ac:dyDescent="0.25">
      <c r="A8" s="43" t="s">
        <v>84</v>
      </c>
      <c r="B8" s="48">
        <v>4</v>
      </c>
      <c r="C8" s="51">
        <v>4</v>
      </c>
      <c r="D8" s="51">
        <v>4</v>
      </c>
      <c r="E8" s="51">
        <v>7</v>
      </c>
      <c r="F8" s="51">
        <v>7</v>
      </c>
      <c r="G8" s="51">
        <v>7</v>
      </c>
      <c r="H8" s="49">
        <v>7</v>
      </c>
    </row>
    <row r="9" spans="1:8" ht="18" customHeight="1" x14ac:dyDescent="0.25">
      <c r="A9" s="43" t="s">
        <v>83</v>
      </c>
      <c r="B9" s="48">
        <v>0</v>
      </c>
      <c r="C9" s="51">
        <v>0</v>
      </c>
      <c r="D9" s="51">
        <v>0</v>
      </c>
      <c r="E9" s="51">
        <v>0</v>
      </c>
      <c r="F9" s="51">
        <v>2</v>
      </c>
      <c r="G9" s="51">
        <v>3</v>
      </c>
      <c r="H9" s="49">
        <v>3</v>
      </c>
    </row>
    <row r="10" spans="1:8" ht="18" customHeight="1" x14ac:dyDescent="0.25">
      <c r="A10" s="43" t="s">
        <v>94</v>
      </c>
      <c r="B10" s="159">
        <v>9</v>
      </c>
      <c r="C10" s="160">
        <v>8</v>
      </c>
      <c r="D10" s="160">
        <v>8</v>
      </c>
      <c r="E10" s="160">
        <v>3</v>
      </c>
      <c r="F10" s="160">
        <v>3</v>
      </c>
      <c r="G10" s="160">
        <v>3</v>
      </c>
      <c r="H10" s="161">
        <v>3</v>
      </c>
    </row>
    <row r="11" spans="1:8" ht="18" customHeight="1" thickBot="1" x14ac:dyDescent="0.3">
      <c r="A11" s="158" t="s">
        <v>73</v>
      </c>
      <c r="B11" s="162">
        <v>1</v>
      </c>
      <c r="C11" s="163">
        <v>1</v>
      </c>
      <c r="D11" s="163">
        <v>1</v>
      </c>
      <c r="E11" s="163">
        <v>1</v>
      </c>
      <c r="F11" s="163">
        <v>1</v>
      </c>
      <c r="G11" s="163">
        <v>1</v>
      </c>
      <c r="H11" s="164">
        <v>1</v>
      </c>
    </row>
  </sheetData>
  <mergeCells count="1">
    <mergeCell ref="A1:H1"/>
  </mergeCell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4">
    <pageSetUpPr fitToPage="1"/>
  </sheetPr>
  <dimension ref="A1:Y107"/>
  <sheetViews>
    <sheetView showGridLines="0" showRowColHeaders="0" workbookViewId="0">
      <selection activeCell="I40" sqref="I40:I45"/>
    </sheetView>
  </sheetViews>
  <sheetFormatPr baseColWidth="10" defaultRowHeight="15" x14ac:dyDescent="0.25"/>
  <cols>
    <col min="1" max="1" width="12.7109375" customWidth="1"/>
    <col min="2" max="2" width="15.7109375" customWidth="1"/>
    <col min="3" max="3" width="7.7109375" customWidth="1"/>
    <col min="4" max="4" width="15.7109375" customWidth="1"/>
    <col min="5" max="5" width="7.7109375" customWidth="1"/>
    <col min="6" max="6" width="15.7109375" customWidth="1"/>
    <col min="7" max="7" width="7.7109375" customWidth="1"/>
    <col min="8" max="8" width="15.7109375" customWidth="1"/>
    <col min="9" max="9" width="7.7109375" customWidth="1"/>
    <col min="10" max="25" width="0" hidden="1" customWidth="1"/>
  </cols>
  <sheetData>
    <row r="1" spans="1:25" ht="30" customHeight="1" x14ac:dyDescent="0.25">
      <c r="A1" s="173" t="s">
        <v>51</v>
      </c>
      <c r="B1" s="254"/>
      <c r="C1" s="254"/>
      <c r="D1" s="174" t="s">
        <v>198</v>
      </c>
      <c r="E1" s="254"/>
      <c r="F1" s="254"/>
      <c r="G1" s="254"/>
      <c r="H1" s="37" t="s">
        <v>257</v>
      </c>
      <c r="I1" s="254"/>
      <c r="J1" s="254"/>
      <c r="K1" s="254"/>
      <c r="L1" s="254"/>
      <c r="M1" s="254"/>
      <c r="N1" s="254"/>
      <c r="O1" s="254"/>
      <c r="P1" s="254"/>
      <c r="Q1" s="254"/>
    </row>
    <row r="2" spans="1:25" ht="9.9499999999999993" customHeight="1" thickBot="1" x14ac:dyDescent="0.3">
      <c r="A2" s="254"/>
      <c r="B2" s="254"/>
      <c r="C2" s="254"/>
      <c r="D2" s="254"/>
      <c r="E2" s="254"/>
      <c r="F2" s="254"/>
      <c r="G2" s="254"/>
      <c r="H2" s="254"/>
      <c r="I2" s="254"/>
      <c r="J2" s="254"/>
      <c r="K2" s="254"/>
      <c r="L2" s="254"/>
      <c r="M2" s="254"/>
      <c r="N2" s="254"/>
      <c r="O2" s="254"/>
      <c r="P2" s="254"/>
      <c r="Q2" s="254"/>
    </row>
    <row r="3" spans="1:25" ht="27.95" customHeight="1" thickBot="1" x14ac:dyDescent="0.3">
      <c r="A3" s="254"/>
      <c r="B3" s="321" t="s">
        <v>258</v>
      </c>
      <c r="C3" s="322"/>
      <c r="D3" s="323"/>
      <c r="E3" s="176"/>
      <c r="F3" s="177" t="s">
        <v>31</v>
      </c>
      <c r="G3" s="176"/>
      <c r="H3" s="178" t="str">
        <f>COUNTIF(B13:B14,"&lt;&gt;")+COUNTIF(D13:D14,"&lt;&gt;")+COUNTIF(F13:F14,"&lt;&gt;")+COUNTIF(H13:H14,"&lt;&gt;")&amp;"/"&amp;SUM(B26,D26,F26,H26,H36,F36,D36,B36,B46,D46,F46,H46)-(COUNTIF(B13:B14,"&lt;&gt;")+COUNTIF(D13:D14,"&lt;&gt;")+COUNTIF(F13:F14,"&lt;&gt;")+COUNTIF(H13:H14,"&lt;&gt;"))</f>
        <v>0/0</v>
      </c>
      <c r="I3" s="254"/>
      <c r="J3" s="188">
        <v>43270</v>
      </c>
      <c r="K3" s="254"/>
      <c r="L3" s="254" t="s">
        <v>135</v>
      </c>
      <c r="M3" s="254" t="s">
        <v>136</v>
      </c>
      <c r="N3" s="254" t="s">
        <v>137</v>
      </c>
      <c r="O3" s="254" t="s">
        <v>138</v>
      </c>
      <c r="P3" s="254" t="s">
        <v>139</v>
      </c>
      <c r="Q3" s="254" t="s">
        <v>140</v>
      </c>
      <c r="T3" t="s">
        <v>135</v>
      </c>
      <c r="U3" t="s">
        <v>136</v>
      </c>
      <c r="V3" t="s">
        <v>137</v>
      </c>
      <c r="W3" t="s">
        <v>138</v>
      </c>
      <c r="X3" t="s">
        <v>139</v>
      </c>
      <c r="Y3" t="s">
        <v>140</v>
      </c>
    </row>
    <row r="4" spans="1:25" ht="15" customHeight="1" x14ac:dyDescent="0.25">
      <c r="A4" s="254"/>
      <c r="B4" s="254"/>
      <c r="C4" s="254"/>
      <c r="D4" s="254"/>
      <c r="E4" s="254"/>
      <c r="F4" s="254"/>
      <c r="G4" s="254"/>
      <c r="H4" s="254"/>
      <c r="I4" s="254"/>
      <c r="J4" s="254">
        <v>1</v>
      </c>
      <c r="K4" s="254">
        <v>1</v>
      </c>
      <c r="L4" s="254"/>
      <c r="M4" s="254"/>
      <c r="N4" s="254"/>
      <c r="O4" s="254"/>
      <c r="P4" s="254"/>
      <c r="Q4" s="254"/>
      <c r="R4">
        <v>1</v>
      </c>
      <c r="S4">
        <v>1</v>
      </c>
    </row>
    <row r="5" spans="1:25" ht="18" customHeight="1" x14ac:dyDescent="0.25">
      <c r="A5" s="254"/>
      <c r="B5" s="179" t="s">
        <v>141</v>
      </c>
      <c r="C5" s="324"/>
      <c r="D5" s="324"/>
      <c r="E5" s="254"/>
      <c r="F5" s="254"/>
      <c r="G5" s="254"/>
      <c r="H5" s="254"/>
      <c r="I5" s="254"/>
      <c r="J5" s="254">
        <v>2</v>
      </c>
      <c r="K5" s="254">
        <f>IF(OR(L5=N5,L5=O5,L5=P5,L5=Q5),"0",MAX(K4:K4)+1)</f>
        <v>2</v>
      </c>
      <c r="L5" s="254" t="s">
        <v>159</v>
      </c>
      <c r="M5" s="254" t="str">
        <f t="shared" ref="M5:M21" si="0">IF(ISNA(VLOOKUP($J5,$K$4:$L$50,2,FALSE)),"",(VLOOKUP($J5,$K$4:$L$50,2,FALSE)))</f>
        <v>Kabat, St.</v>
      </c>
      <c r="N5" s="254" t="str">
        <f>IF(ISNA(VLOOKUP(L5,Gruppengliederung!$B$12:$B$44,1,FALSE)),"",VLOOKUP(L5,Gruppengliederung!$B$12:$B$44,1,FALSE))</f>
        <v/>
      </c>
      <c r="O5" s="254" t="str">
        <f>IF(ISNA(VLOOKUP(L5,Gruppengliederung!$D$12:$D$44,1,FALSE)),"",VLOOKUP(L5,Gruppengliederung!$D$12:$D$44,1,FALSE))</f>
        <v/>
      </c>
      <c r="P5" s="254" t="str">
        <f>IF(ISNA(VLOOKUP(L5,Gruppengliederung!$F$12:$F$44,1,FALSE)),"",VLOOKUP(L5,Gruppengliederung!$F$12:$F$44,1,FALSE))</f>
        <v/>
      </c>
      <c r="Q5" s="254" t="str">
        <f>IF(ISNA(VLOOKUP(L5,Gruppengliederung!$H$12:$H$44,1,FALSE)),"",VLOOKUP(L5,Gruppengliederung!$H$12:$H$44,1,FALSE))</f>
        <v/>
      </c>
      <c r="R5">
        <v>2</v>
      </c>
      <c r="S5">
        <f>IF(OR(T5=V5,T5=W5,T5=X5,T5=Y5),"0",MAX(S4:S4)+1)</f>
        <v>2</v>
      </c>
      <c r="T5">
        <v>21200</v>
      </c>
      <c r="U5">
        <f t="shared" ref="U5:U47" si="1">IF(ISNA(VLOOKUP($R5,$S$4:$T$50,2,FALSE)),"",(VLOOKUP($R5,$S$4:$T$50,2,FALSE)))</f>
        <v>21200</v>
      </c>
      <c r="V5" t="str">
        <f>IF(ISNA(VLOOKUP(T5,Gruppengliederung!$C$13:$D$47,1,FALSE)),"",VLOOKUP(T5,Gruppengliederung!$C$13:$D$47,1,FALSE))</f>
        <v/>
      </c>
      <c r="W5" t="str">
        <f>IF(ISNA(VLOOKUP(T5,Gruppengliederung!$D$12:$D$47,1,FALSE)),"",VLOOKUP(T5,Gruppengliederung!$D$12:$D$47,1,FALSE))</f>
        <v/>
      </c>
      <c r="X5" t="str">
        <f>IF(ISNA(VLOOKUP(T5,Gruppengliederung!$F$12:$F$47,1,FALSE)),"",VLOOKUP(T5,Gruppengliederung!$F$12:$F$47,1,FALSE))</f>
        <v/>
      </c>
      <c r="Y5" t="str">
        <f>IF(ISNA(VLOOKUP(T5,Gruppengliederung!$H$12:$H$47,1,FALSE)),"",VLOOKUP(T5,Gruppengliederung!$H$12:$H$47,1,FALSE))</f>
        <v/>
      </c>
    </row>
    <row r="6" spans="1:25" ht="18" customHeight="1" x14ac:dyDescent="0.25">
      <c r="A6" s="254"/>
      <c r="B6" s="179" t="s">
        <v>142</v>
      </c>
      <c r="C6" s="325"/>
      <c r="D6" s="325"/>
      <c r="E6" s="254"/>
      <c r="F6" s="254"/>
      <c r="G6" s="254"/>
      <c r="H6" s="254"/>
      <c r="I6" s="254"/>
      <c r="J6" s="254">
        <v>3</v>
      </c>
      <c r="K6" s="254">
        <f>IF(OR(L6=N6,L6=O6,L6=P6,L6=Q6),"0",MAX(K4:K5)+1)</f>
        <v>3</v>
      </c>
      <c r="L6" s="254" t="s">
        <v>162</v>
      </c>
      <c r="M6" s="254" t="str">
        <f t="shared" si="0"/>
        <v>Götz, Ph.</v>
      </c>
      <c r="N6" s="254" t="str">
        <f>IF(ISNA(VLOOKUP(L6,Gruppengliederung!$B$12:$B$44,1,FALSE)),"",VLOOKUP(L6,Gruppengliederung!$B$12:$B$44,1,FALSE))</f>
        <v/>
      </c>
      <c r="O6" s="254" t="str">
        <f>IF(ISNA(VLOOKUP(L6,Gruppengliederung!$D$12:$D$44,1,FALSE)),"",VLOOKUP(L6,Gruppengliederung!$D$12:$D$44,1,FALSE))</f>
        <v/>
      </c>
      <c r="P6" s="254" t="str">
        <f>IF(ISNA(VLOOKUP(L6,Gruppengliederung!$F$12:$F$44,1,FALSE)),"",VLOOKUP(L6,Gruppengliederung!$F$12:$F$44,1,FALSE))</f>
        <v/>
      </c>
      <c r="Q6" s="254" t="str">
        <f>IF(ISNA(VLOOKUP(L6,Gruppengliederung!$H$12:$H$44,1,FALSE)),"",VLOOKUP(L6,Gruppengliederung!$H$12:$H$44,1,FALSE))</f>
        <v/>
      </c>
      <c r="R6">
        <v>3</v>
      </c>
      <c r="S6">
        <f>IF(OR(T6=V6,T6=W6,T6=X6,T6=Y6),"0",MAX(S4:S5)+1)</f>
        <v>3</v>
      </c>
      <c r="T6">
        <v>21201</v>
      </c>
      <c r="U6">
        <f t="shared" si="1"/>
        <v>21201</v>
      </c>
      <c r="V6" t="str">
        <f>IF(ISNA(VLOOKUP(T6,Gruppengliederung!$C$13:$D$47,1,FALSE)),"",VLOOKUP(T6,Gruppengliederung!$C$13:$D$47,1,FALSE))</f>
        <v/>
      </c>
      <c r="W6" t="str">
        <f>IF(ISNA(VLOOKUP(T6,Gruppengliederung!$D$12:$D$47,1,FALSE)),"",VLOOKUP(T6,Gruppengliederung!$D$12:$D$47,1,FALSE))</f>
        <v/>
      </c>
      <c r="X6" t="str">
        <f>IF(ISNA(VLOOKUP(T6,Gruppengliederung!$F$12:$F$47,1,FALSE)),"",VLOOKUP(T6,Gruppengliederung!$F$12:$F$47,1,FALSE))</f>
        <v/>
      </c>
      <c r="Y6" t="str">
        <f>IF(ISNA(VLOOKUP(T6,Gruppengliederung!$H$12:$H$47,1,FALSE)),"",VLOOKUP(T6,Gruppengliederung!$H$12:$H$47,1,FALSE))</f>
        <v/>
      </c>
    </row>
    <row r="7" spans="1:25" ht="18" customHeight="1" x14ac:dyDescent="0.25">
      <c r="A7" s="254"/>
      <c r="B7" s="179" t="s">
        <v>143</v>
      </c>
      <c r="C7" s="325"/>
      <c r="D7" s="325"/>
      <c r="E7" s="254"/>
      <c r="F7" s="254"/>
      <c r="G7" s="254"/>
      <c r="H7" s="254"/>
      <c r="I7" s="254"/>
      <c r="J7" s="254">
        <v>4</v>
      </c>
      <c r="K7" s="254">
        <f>IF(OR(L7=N7,L7=O7,L7=P7,L7=Q7),"0",MAX(K4:K6)+1)</f>
        <v>4</v>
      </c>
      <c r="L7" s="254" t="s">
        <v>164</v>
      </c>
      <c r="M7" s="254" t="str">
        <f t="shared" si="0"/>
        <v>Ketels, Ju.</v>
      </c>
      <c r="N7" s="254" t="str">
        <f>IF(ISNA(VLOOKUP(L7,Gruppengliederung!$B$12:$B$44,1,FALSE)),"",VLOOKUP(L7,Gruppengliederung!$B$12:$B$44,1,FALSE))</f>
        <v/>
      </c>
      <c r="O7" s="254" t="str">
        <f>IF(ISNA(VLOOKUP(L7,Gruppengliederung!$D$12:$D$44,1,FALSE)),"",VLOOKUP(L7,Gruppengliederung!$D$12:$D$44,1,FALSE))</f>
        <v/>
      </c>
      <c r="P7" s="254" t="str">
        <f>IF(ISNA(VLOOKUP(L7,Gruppengliederung!$F$12:$F$44,1,FALSE)),"",VLOOKUP(L7,Gruppengliederung!$F$12:$F$44,1,FALSE))</f>
        <v/>
      </c>
      <c r="Q7" s="254" t="str">
        <f>IF(ISNA(VLOOKUP(L7,Gruppengliederung!$H$12:$H$44,1,FALSE)),"",VLOOKUP(L7,Gruppengliederung!$H$12:$H$44,1,FALSE))</f>
        <v/>
      </c>
      <c r="R7">
        <v>4</v>
      </c>
      <c r="S7">
        <f>IF(OR(T7=V7,T7=W7,T7=X7,T7=Y7),"0",MAX(S4:S6)+1)</f>
        <v>4</v>
      </c>
      <c r="T7">
        <v>21202</v>
      </c>
      <c r="U7">
        <f t="shared" si="1"/>
        <v>21202</v>
      </c>
      <c r="V7" t="str">
        <f>IF(ISNA(VLOOKUP(T7,Gruppengliederung!$C$13:$D$47,1,FALSE)),"",VLOOKUP(T7,Gruppengliederung!$C$13:$D$47,1,FALSE))</f>
        <v/>
      </c>
      <c r="W7" t="str">
        <f>IF(ISNA(VLOOKUP(T7,Gruppengliederung!$D$12:$D$47,1,FALSE)),"",VLOOKUP(T7,Gruppengliederung!$D$12:$D$47,1,FALSE))</f>
        <v/>
      </c>
      <c r="X7" t="str">
        <f>IF(ISNA(VLOOKUP(T7,Gruppengliederung!$F$12:$F$47,1,FALSE)),"",VLOOKUP(T7,Gruppengliederung!$F$12:$F$47,1,FALSE))</f>
        <v/>
      </c>
      <c r="Y7" t="str">
        <f>IF(ISNA(VLOOKUP(T7,Gruppengliederung!$H$12:$H$47,1,FALSE)),"",VLOOKUP(T7,Gruppengliederung!$H$12:$H$47,1,FALSE))</f>
        <v/>
      </c>
    </row>
    <row r="8" spans="1:25" ht="18" customHeight="1" x14ac:dyDescent="0.25">
      <c r="A8" s="254"/>
      <c r="B8" s="179" t="s">
        <v>144</v>
      </c>
      <c r="C8" s="326"/>
      <c r="D8" s="326"/>
      <c r="E8" s="326"/>
      <c r="F8" s="326"/>
      <c r="G8" s="254"/>
      <c r="H8" s="254"/>
      <c r="I8" s="254"/>
      <c r="J8" s="254">
        <v>5</v>
      </c>
      <c r="K8" s="254">
        <f>IF(OR(L8=N8,L8=O8,L8=P8,L8=Q8),"0",MAX(K4:K7)+1)</f>
        <v>5</v>
      </c>
      <c r="L8" s="254" t="s">
        <v>165</v>
      </c>
      <c r="M8" s="254" t="str">
        <f t="shared" si="0"/>
        <v>Fechner, Ul.</v>
      </c>
      <c r="N8" s="254" t="str">
        <f>IF(ISNA(VLOOKUP(L8,Gruppengliederung!$B$12:$B$44,1,FALSE)),"",VLOOKUP(L8,Gruppengliederung!$B$12:$B$44,1,FALSE))</f>
        <v/>
      </c>
      <c r="O8" s="254" t="str">
        <f>IF(ISNA(VLOOKUP(L8,Gruppengliederung!$D$12:$D$44,1,FALSE)),"",VLOOKUP(L8,Gruppengliederung!$D$12:$D$44,1,FALSE))</f>
        <v/>
      </c>
      <c r="P8" s="254" t="str">
        <f>IF(ISNA(VLOOKUP(L8,Gruppengliederung!$F$12:$F$44,1,FALSE)),"",VLOOKUP(L8,Gruppengliederung!$F$12:$F$44,1,FALSE))</f>
        <v/>
      </c>
      <c r="Q8" s="254" t="str">
        <f>IF(ISNA(VLOOKUP(L8,Gruppengliederung!$H$12:$H$44,1,FALSE)),"",VLOOKUP(L8,Gruppengliederung!$H$12:$H$44,1,FALSE))</f>
        <v/>
      </c>
      <c r="R8">
        <v>5</v>
      </c>
      <c r="S8">
        <f>IF(OR(T8=V8,T8=W8,T8=X8,T8=Y8),"0",MAX(S4:S7)+1)</f>
        <v>5</v>
      </c>
      <c r="T8">
        <v>21203</v>
      </c>
      <c r="U8">
        <f t="shared" si="1"/>
        <v>21203</v>
      </c>
      <c r="V8" t="str">
        <f>IF(ISNA(VLOOKUP(T8,Gruppengliederung!$C$13:$D$47,1,FALSE)),"",VLOOKUP(T8,Gruppengliederung!$C$13:$D$47,1,FALSE))</f>
        <v/>
      </c>
      <c r="W8" t="str">
        <f>IF(ISNA(VLOOKUP(T8,Gruppengliederung!$D$12:$D$47,1,FALSE)),"",VLOOKUP(T8,Gruppengliederung!$D$12:$D$47,1,FALSE))</f>
        <v/>
      </c>
      <c r="X8" t="str">
        <f>IF(ISNA(VLOOKUP(T8,Gruppengliederung!$F$12:$F$47,1,FALSE)),"",VLOOKUP(T8,Gruppengliederung!$F$12:$F$47,1,FALSE))</f>
        <v/>
      </c>
      <c r="Y8" t="str">
        <f>IF(ISNA(VLOOKUP(T8,Gruppengliederung!$H$12:$H$47,1,FALSE)),"",VLOOKUP(T8,Gruppengliederung!$H$12:$H$47,1,FALSE))</f>
        <v/>
      </c>
    </row>
    <row r="9" spans="1:25" ht="18" customHeight="1" x14ac:dyDescent="0.25">
      <c r="A9" s="254"/>
      <c r="B9" s="179" t="s">
        <v>145</v>
      </c>
      <c r="C9" s="320"/>
      <c r="D9" s="320"/>
      <c r="E9" s="320"/>
      <c r="F9" s="320"/>
      <c r="G9" s="254"/>
      <c r="H9" s="254"/>
      <c r="I9" s="254"/>
      <c r="J9" s="254">
        <v>6</v>
      </c>
      <c r="K9" s="254">
        <f>IF(OR(L9=N9,L9=O9,L9=P9,L9=Q9),"0",MAX(K4:K8)+1)</f>
        <v>6</v>
      </c>
      <c r="L9" s="254" t="s">
        <v>167</v>
      </c>
      <c r="M9" s="254" t="str">
        <f t="shared" si="0"/>
        <v>Rübner, Fe.</v>
      </c>
      <c r="N9" s="254" t="str">
        <f>IF(ISNA(VLOOKUP(L9,Gruppengliederung!$B$12:$B$44,1,FALSE)),"",VLOOKUP(L9,Gruppengliederung!$B$12:$B$44,1,FALSE))</f>
        <v/>
      </c>
      <c r="O9" s="254" t="str">
        <f>IF(ISNA(VLOOKUP(L9,Gruppengliederung!$D$12:$D$44,1,FALSE)),"",VLOOKUP(L9,Gruppengliederung!$D$12:$D$44,1,FALSE))</f>
        <v/>
      </c>
      <c r="P9" s="254" t="str">
        <f>IF(ISNA(VLOOKUP(L9,Gruppengliederung!$F$12:$F$44,1,FALSE)),"",VLOOKUP(L9,Gruppengliederung!$F$12:$F$44,1,FALSE))</f>
        <v/>
      </c>
      <c r="Q9" s="254" t="str">
        <f>IF(ISNA(VLOOKUP(L9,Gruppengliederung!$H$12:$H$44,1,FALSE)),"",VLOOKUP(L9,Gruppengliederung!$H$12:$H$44,1,FALSE))</f>
        <v/>
      </c>
      <c r="R9">
        <v>6</v>
      </c>
      <c r="S9">
        <f>IF(OR(T9=V9,T9=W9,T9=X9,T9=Y9),"0",MAX(S4:S8)+1)</f>
        <v>6</v>
      </c>
      <c r="T9">
        <v>21204</v>
      </c>
      <c r="U9">
        <f t="shared" si="1"/>
        <v>21204</v>
      </c>
      <c r="V9" t="str">
        <f>IF(ISNA(VLOOKUP(T9,Gruppengliederung!$C$13:$D$47,1,FALSE)),"",VLOOKUP(T9,Gruppengliederung!$C$13:$D$47,1,FALSE))</f>
        <v/>
      </c>
      <c r="W9" t="str">
        <f>IF(ISNA(VLOOKUP(T9,Gruppengliederung!$D$12:$D$47,1,FALSE)),"",VLOOKUP(T9,Gruppengliederung!$D$12:$D$47,1,FALSE))</f>
        <v/>
      </c>
      <c r="X9" t="str">
        <f>IF(ISNA(VLOOKUP(T9,Gruppengliederung!$F$12:$F$47,1,FALSE)),"",VLOOKUP(T9,Gruppengliederung!$F$12:$F$47,1,FALSE))</f>
        <v/>
      </c>
      <c r="Y9" t="str">
        <f>IF(ISNA(VLOOKUP(T9,Gruppengliederung!$H$12:$H$47,1,FALSE)),"",VLOOKUP(T9,Gruppengliederung!$H$12:$H$47,1,FALSE))</f>
        <v/>
      </c>
    </row>
    <row r="10" spans="1:25" ht="15" customHeight="1" x14ac:dyDescent="0.25">
      <c r="A10" s="254"/>
      <c r="B10" s="254"/>
      <c r="C10" s="254"/>
      <c r="D10" s="254"/>
      <c r="E10" s="254"/>
      <c r="F10" s="254"/>
      <c r="G10" s="254"/>
      <c r="H10" s="254"/>
      <c r="I10" s="254"/>
      <c r="J10" s="254">
        <v>7</v>
      </c>
      <c r="K10" s="254">
        <f>IF(OR(L10=N10,L10=O10,L10=P10,L10=Q10),"0",MAX(K4:K9)+1)</f>
        <v>7</v>
      </c>
      <c r="L10" s="254" t="s">
        <v>171</v>
      </c>
      <c r="M10" s="254" t="str">
        <f t="shared" si="0"/>
        <v>Wilinski, Im.</v>
      </c>
      <c r="N10" s="254" t="str">
        <f>IF(ISNA(VLOOKUP(L10,Gruppengliederung!$B$12:$B$44,1,FALSE)),"",VLOOKUP(L10,Gruppengliederung!$B$12:$B$44,1,FALSE))</f>
        <v/>
      </c>
      <c r="O10" s="254" t="str">
        <f>IF(ISNA(VLOOKUP(L10,Gruppengliederung!$D$12:$D$44,1,FALSE)),"",VLOOKUP(L10,Gruppengliederung!$D$12:$D$44,1,FALSE))</f>
        <v/>
      </c>
      <c r="P10" s="254" t="str">
        <f>IF(ISNA(VLOOKUP(L10,Gruppengliederung!$F$12:$F$44,1,FALSE)),"",VLOOKUP(L10,Gruppengliederung!$F$12:$F$44,1,FALSE))</f>
        <v/>
      </c>
      <c r="Q10" s="254" t="str">
        <f>IF(ISNA(VLOOKUP(L10,Gruppengliederung!$H$12:$H$44,1,FALSE)),"",VLOOKUP(L10,Gruppengliederung!$H$12:$H$44,1,FALSE))</f>
        <v/>
      </c>
      <c r="R10">
        <v>7</v>
      </c>
      <c r="S10">
        <f>IF(OR(T10=V10,T10=W10,T10=X10,T10=Y10),"0",MAX(S4:S9)+1)</f>
        <v>7</v>
      </c>
      <c r="T10">
        <v>21205</v>
      </c>
      <c r="U10">
        <f t="shared" si="1"/>
        <v>21205</v>
      </c>
      <c r="V10" t="str">
        <f>IF(ISNA(VLOOKUP(T10,Gruppengliederung!$C$13:$D$47,1,FALSE)),"",VLOOKUP(T10,Gruppengliederung!$C$13:$D$47,1,FALSE))</f>
        <v/>
      </c>
      <c r="W10" t="str">
        <f>IF(ISNA(VLOOKUP(T10,Gruppengliederung!$D$12:$D$47,1,FALSE)),"",VLOOKUP(T10,Gruppengliederung!$D$12:$D$47,1,FALSE))</f>
        <v/>
      </c>
      <c r="X10" t="str">
        <f>IF(ISNA(VLOOKUP(T10,Gruppengliederung!$F$12:$F$47,1,FALSE)),"",VLOOKUP(T10,Gruppengliederung!$F$12:$F$47,1,FALSE))</f>
        <v/>
      </c>
      <c r="Y10" t="str">
        <f>IF(ISNA(VLOOKUP(T10,Gruppengliederung!$H$12:$H$47,1,FALSE)),"",VLOOKUP(T10,Gruppengliederung!$H$12:$H$47,1,FALSE))</f>
        <v/>
      </c>
    </row>
    <row r="11" spans="1:25" ht="18" customHeight="1" x14ac:dyDescent="0.25">
      <c r="A11" s="254"/>
      <c r="B11" s="182" t="s">
        <v>137</v>
      </c>
      <c r="C11" s="254"/>
      <c r="D11" s="182" t="s">
        <v>138</v>
      </c>
      <c r="E11" s="254"/>
      <c r="F11" s="182" t="s">
        <v>139</v>
      </c>
      <c r="G11" s="254"/>
      <c r="H11" s="182" t="s">
        <v>140</v>
      </c>
      <c r="I11" s="254"/>
      <c r="J11" s="254">
        <v>8</v>
      </c>
      <c r="K11" s="254">
        <f>IF(OR(L11=N11,L11=O11,L11=P11,L11=Q11),"0",MAX(K4:K10)+1)</f>
        <v>8</v>
      </c>
      <c r="L11" s="254" t="s">
        <v>174</v>
      </c>
      <c r="M11" s="254" t="str">
        <f t="shared" si="0"/>
        <v>Hänisch, Pa.</v>
      </c>
      <c r="N11" s="254" t="str">
        <f>IF(ISNA(VLOOKUP(L11,Gruppengliederung!$B$12:$B$44,1,FALSE)),"",VLOOKUP(L11,Gruppengliederung!$B$12:$B$44,1,FALSE))</f>
        <v/>
      </c>
      <c r="O11" s="254" t="str">
        <f>IF(ISNA(VLOOKUP(L11,Gruppengliederung!$D$12:$D$44,1,FALSE)),"",VLOOKUP(L11,Gruppengliederung!$D$12:$D$44,1,FALSE))</f>
        <v/>
      </c>
      <c r="P11" s="254" t="str">
        <f>IF(ISNA(VLOOKUP(L11,Gruppengliederung!$F$12:$F$44,1,FALSE)),"",VLOOKUP(L11,Gruppengliederung!$F$12:$F$44,1,FALSE))</f>
        <v/>
      </c>
      <c r="Q11" s="254" t="str">
        <f>IF(ISNA(VLOOKUP(L11,Gruppengliederung!$H$12:$H$44,1,FALSE)),"",VLOOKUP(L11,Gruppengliederung!$H$12:$H$44,1,FALSE))</f>
        <v/>
      </c>
      <c r="R11">
        <v>8</v>
      </c>
      <c r="S11">
        <f>IF(OR(T11=V11,T11=W11,T11=X11,T11=Y11),"0",MAX(S4:S10)+1)</f>
        <v>8</v>
      </c>
      <c r="T11">
        <v>21206</v>
      </c>
      <c r="U11">
        <f t="shared" si="1"/>
        <v>21206</v>
      </c>
      <c r="V11" t="str">
        <f>IF(ISNA(VLOOKUP(T11,Gruppengliederung!$C$13:$D$47,1,FALSE)),"",VLOOKUP(T11,Gruppengliederung!$C$13:$D$47,1,FALSE))</f>
        <v/>
      </c>
      <c r="W11" t="str">
        <f>IF(ISNA(VLOOKUP(T11,Gruppengliederung!$D$12:$D$47,1,FALSE)),"",VLOOKUP(T11,Gruppengliederung!$D$12:$D$47,1,FALSE))</f>
        <v/>
      </c>
      <c r="X11" t="str">
        <f>IF(ISNA(VLOOKUP(T11,Gruppengliederung!$F$12:$F$47,1,FALSE)),"",VLOOKUP(T11,Gruppengliederung!$F$12:$F$47,1,FALSE))</f>
        <v/>
      </c>
      <c r="Y11" t="str">
        <f>IF(ISNA(VLOOKUP(T11,Gruppengliederung!$H$12:$H$47,1,FALSE)),"",VLOOKUP(T11,Gruppengliederung!$H$12:$H$47,1,FALSE))</f>
        <v/>
      </c>
    </row>
    <row r="12" spans="1:25" ht="5.0999999999999996" customHeight="1" x14ac:dyDescent="0.25">
      <c r="A12" s="254"/>
      <c r="B12" s="254"/>
      <c r="C12" s="254"/>
      <c r="D12" s="254"/>
      <c r="E12" s="254"/>
      <c r="F12" s="254"/>
      <c r="G12" s="254"/>
      <c r="H12" s="254"/>
      <c r="I12" s="254"/>
      <c r="J12" s="254">
        <v>9</v>
      </c>
      <c r="K12" s="254">
        <f>IF(OR(L12=N12,L12=O12,L12=P12,L12=Q12),"0",MAX(K4:K11)+1)</f>
        <v>9</v>
      </c>
      <c r="L12" s="254" t="s">
        <v>175</v>
      </c>
      <c r="M12" s="254" t="str">
        <f t="shared" si="0"/>
        <v>Forster, St.</v>
      </c>
      <c r="N12" s="254" t="str">
        <f>IF(ISNA(VLOOKUP(L12,Gruppengliederung!$B$12:$B$44,1,FALSE)),"",VLOOKUP(L12,Gruppengliederung!$B$12:$B$44,1,FALSE))</f>
        <v/>
      </c>
      <c r="O12" s="254" t="str">
        <f>IF(ISNA(VLOOKUP(L12,Gruppengliederung!$D$12:$D$44,1,FALSE)),"",VLOOKUP(L12,Gruppengliederung!$D$12:$D$44,1,FALSE))</f>
        <v/>
      </c>
      <c r="P12" s="254" t="str">
        <f>IF(ISNA(VLOOKUP(L12,Gruppengliederung!$F$12:$F$44,1,FALSE)),"",VLOOKUP(L12,Gruppengliederung!$F$12:$F$44,1,FALSE))</f>
        <v/>
      </c>
      <c r="Q12" s="254" t="str">
        <f>IF(ISNA(VLOOKUP(L12,Gruppengliederung!$H$12:$H$44,1,FALSE)),"",VLOOKUP(L12,Gruppengliederung!$H$12:$H$44,1,FALSE))</f>
        <v/>
      </c>
      <c r="R12">
        <v>9</v>
      </c>
      <c r="S12">
        <f>IF(OR(T12=V12,T12=W12,T12=X12,T12=Y12),"0",MAX(S4:S11)+1)</f>
        <v>9</v>
      </c>
      <c r="T12">
        <v>21207</v>
      </c>
      <c r="U12">
        <f t="shared" si="1"/>
        <v>21207</v>
      </c>
      <c r="V12" t="str">
        <f>IF(ISNA(VLOOKUP(T12,Gruppengliederung!$C$13:$D$47,1,FALSE)),"",VLOOKUP(T12,Gruppengliederung!$C$13:$D$47,1,FALSE))</f>
        <v/>
      </c>
      <c r="W12" t="str">
        <f>IF(ISNA(VLOOKUP(T12,Gruppengliederung!$D$12:$D$47,1,FALSE)),"",VLOOKUP(T12,Gruppengliederung!$D$12:$D$47,1,FALSE))</f>
        <v/>
      </c>
      <c r="X12" t="str">
        <f>IF(ISNA(VLOOKUP(T12,Gruppengliederung!$F$12:$F$47,1,FALSE)),"",VLOOKUP(T12,Gruppengliederung!$F$12:$F$47,1,FALSE))</f>
        <v/>
      </c>
      <c r="Y12" t="str">
        <f>IF(ISNA(VLOOKUP(T12,Gruppengliederung!$H$12:$H$47,1,FALSE)),"",VLOOKUP(T12,Gruppengliederung!$H$12:$H$47,1,FALSE))</f>
        <v/>
      </c>
    </row>
    <row r="13" spans="1:25" ht="18" customHeight="1" x14ac:dyDescent="0.25">
      <c r="A13" s="181" t="s">
        <v>189</v>
      </c>
      <c r="B13" s="183"/>
      <c r="C13" s="186" t="str">
        <f>IF(B13&lt;&gt;"",21200,"")</f>
        <v/>
      </c>
      <c r="D13" s="183"/>
      <c r="E13" s="186" t="str">
        <f>IF(D13&lt;&gt;"",21200,"")</f>
        <v/>
      </c>
      <c r="F13" s="183"/>
      <c r="G13" s="186" t="str">
        <f>IF(F13&lt;&gt;"",21200,"")</f>
        <v/>
      </c>
      <c r="H13" s="183"/>
      <c r="I13" s="186" t="str">
        <f>IF(H13&lt;&gt;"",21200,"")</f>
        <v/>
      </c>
      <c r="J13" s="254">
        <v>10</v>
      </c>
      <c r="K13" s="254">
        <f>IF(OR(L13=N13,L13=O13,L13=P13,L13=Q13),"0",MAX(K4:K12)+1)</f>
        <v>10</v>
      </c>
      <c r="L13" s="254" t="s">
        <v>176</v>
      </c>
      <c r="M13" s="254" t="str">
        <f t="shared" si="0"/>
        <v>Hoffmann, Mi.</v>
      </c>
      <c r="N13" s="254" t="str">
        <f>IF(ISNA(VLOOKUP(L13,Gruppengliederung!$B$12:$B$44,1,FALSE)),"",VLOOKUP(L13,Gruppengliederung!$B$12:$B$44,1,FALSE))</f>
        <v/>
      </c>
      <c r="O13" s="254" t="str">
        <f>IF(ISNA(VLOOKUP(L13,Gruppengliederung!$D$12:$D$44,1,FALSE)),"",VLOOKUP(L13,Gruppengliederung!$D$12:$D$44,1,FALSE))</f>
        <v/>
      </c>
      <c r="P13" s="254" t="str">
        <f>IF(ISNA(VLOOKUP(L13,Gruppengliederung!$F$12:$F$44,1,FALSE)),"",VLOOKUP(L13,Gruppengliederung!$F$12:$F$44,1,FALSE))</f>
        <v/>
      </c>
      <c r="Q13" s="254" t="str">
        <f>IF(ISNA(VLOOKUP(L13,Gruppengliederung!$H$12:$H$44,1,FALSE)),"",VLOOKUP(L13,Gruppengliederung!$H$12:$H$44,1,FALSE))</f>
        <v/>
      </c>
      <c r="R13">
        <v>10</v>
      </c>
      <c r="S13">
        <f>IF(OR(T13=V13,T13=W13,T13=X13,T13=Y13),"0",MAX(S4:S12)+1)</f>
        <v>10</v>
      </c>
      <c r="T13">
        <v>21208</v>
      </c>
      <c r="U13">
        <f t="shared" si="1"/>
        <v>21208</v>
      </c>
      <c r="V13" t="str">
        <f>IF(ISNA(VLOOKUP(T13,Gruppengliederung!$C$13:$D$47,1,FALSE)),"",VLOOKUP(T13,Gruppengliederung!$C$13:$D$47,1,FALSE))</f>
        <v/>
      </c>
      <c r="W13" t="str">
        <f>IF(ISNA(VLOOKUP(T13,Gruppengliederung!$D$12:$D$47,1,FALSE)),"",VLOOKUP(T13,Gruppengliederung!$D$12:$D$47,1,FALSE))</f>
        <v/>
      </c>
      <c r="X13" t="str">
        <f>IF(ISNA(VLOOKUP(T13,Gruppengliederung!$F$12:$F$47,1,FALSE)),"",VLOOKUP(T13,Gruppengliederung!$F$12:$F$47,1,FALSE))</f>
        <v/>
      </c>
      <c r="Y13" t="str">
        <f>IF(ISNA(VLOOKUP(T13,Gruppengliederung!$H$12:$H$47,1,FALSE)),"",VLOOKUP(T13,Gruppengliederung!$H$12:$H$47,1,FALSE))</f>
        <v/>
      </c>
    </row>
    <row r="14" spans="1:25" ht="18" customHeight="1" x14ac:dyDescent="0.25">
      <c r="A14" s="181" t="s">
        <v>190</v>
      </c>
      <c r="B14" s="183"/>
      <c r="C14" s="186" t="str">
        <f>IF(B14&lt;&gt;"",21201,"")</f>
        <v/>
      </c>
      <c r="D14" s="183"/>
      <c r="E14" s="186" t="str">
        <f>IF(D14&lt;&gt;"",21201,"")</f>
        <v/>
      </c>
      <c r="F14" s="183"/>
      <c r="G14" s="186" t="str">
        <f>IF(F14&lt;&gt;"",21201,"")</f>
        <v/>
      </c>
      <c r="H14" s="183"/>
      <c r="I14" s="186" t="str">
        <f>IF(H14&lt;&gt;"",21201,"")</f>
        <v/>
      </c>
      <c r="J14" s="254">
        <v>11</v>
      </c>
      <c r="K14" s="254">
        <f>IF(OR(L14=N14,L14=O14,L14=P14,L14=Q14),"0",MAX(K4:K13)+1)</f>
        <v>11</v>
      </c>
      <c r="L14" s="254" t="s">
        <v>178</v>
      </c>
      <c r="M14" s="254" t="str">
        <f t="shared" si="0"/>
        <v>Benscheck, Da.</v>
      </c>
      <c r="N14" s="254" t="str">
        <f>IF(ISNA(VLOOKUP(L14,Gruppengliederung!$B$12:$B$44,1,FALSE)),"",VLOOKUP(L14,Gruppengliederung!$B$12:$B$44,1,FALSE))</f>
        <v/>
      </c>
      <c r="O14" s="254" t="str">
        <f>IF(ISNA(VLOOKUP(L14,Gruppengliederung!$D$12:$D$44,1,FALSE)),"",VLOOKUP(L14,Gruppengliederung!$D$12:$D$44,1,FALSE))</f>
        <v/>
      </c>
      <c r="P14" s="254" t="str">
        <f>IF(ISNA(VLOOKUP(L14,Gruppengliederung!$F$12:$F$44,1,FALSE)),"",VLOOKUP(L14,Gruppengliederung!$F$12:$F$44,1,FALSE))</f>
        <v/>
      </c>
      <c r="Q14" s="254" t="str">
        <f>IF(ISNA(VLOOKUP(L14,Gruppengliederung!$H$12:$H$44,1,FALSE)),"",VLOOKUP(L14,Gruppengliederung!$H$12:$H$44,1,FALSE))</f>
        <v/>
      </c>
      <c r="R14">
        <v>11</v>
      </c>
      <c r="S14">
        <f>IF(OR(T14=V14,T14=W14,T14=X14,T14=Y14),"0",MAX(S4:S13)+1)</f>
        <v>11</v>
      </c>
      <c r="T14">
        <v>21209</v>
      </c>
      <c r="U14">
        <f t="shared" si="1"/>
        <v>21209</v>
      </c>
      <c r="V14" t="str">
        <f>IF(ISNA(VLOOKUP(T14,Gruppengliederung!$C$13:$D$47,1,FALSE)),"",VLOOKUP(T14,Gruppengliederung!$C$13:$D$47,1,FALSE))</f>
        <v/>
      </c>
      <c r="W14" t="str">
        <f>IF(ISNA(VLOOKUP(T14,Gruppengliederung!$D$12:$D$47,1,FALSE)),"",VLOOKUP(T14,Gruppengliederung!$D$12:$D$47,1,FALSE))</f>
        <v/>
      </c>
      <c r="X14" t="str">
        <f>IF(ISNA(VLOOKUP(T14,Gruppengliederung!$F$12:$F$47,1,FALSE)),"",VLOOKUP(T14,Gruppengliederung!$F$12:$F$47,1,FALSE))</f>
        <v/>
      </c>
      <c r="Y14" t="str">
        <f>IF(ISNA(VLOOKUP(T14,Gruppengliederung!$H$12:$H$47,1,FALSE)),"",VLOOKUP(T14,Gruppengliederung!$H$12:$H$47,1,FALSE))</f>
        <v/>
      </c>
    </row>
    <row r="15" spans="1:25" ht="18" customHeight="1" x14ac:dyDescent="0.25">
      <c r="A15" s="181" t="s">
        <v>191</v>
      </c>
      <c r="B15" s="183"/>
      <c r="C15" s="186" t="str">
        <f>IF(B15&lt;&gt;"",21210,"")</f>
        <v/>
      </c>
      <c r="D15" s="183"/>
      <c r="E15" s="186" t="str">
        <f>IF(D15&lt;&gt;"",21220,"")</f>
        <v/>
      </c>
      <c r="F15" s="183"/>
      <c r="G15" s="186" t="str">
        <f>IF(F15&lt;&gt;"",21230,"")</f>
        <v/>
      </c>
      <c r="H15" s="183"/>
      <c r="I15" s="186" t="str">
        <f>IF(H15&lt;&gt;"",21240,"")</f>
        <v/>
      </c>
      <c r="J15" s="254">
        <v>12</v>
      </c>
      <c r="K15" s="254">
        <f>IF(OR(L15=N15,L15=O15,L15=P15,L15=Q15),"0",MAX(K4:K14)+1)</f>
        <v>12</v>
      </c>
      <c r="L15" s="254" t="s">
        <v>180</v>
      </c>
      <c r="M15" s="254" t="str">
        <f t="shared" si="0"/>
        <v>Beeck, Du.</v>
      </c>
      <c r="N15" s="254" t="str">
        <f>IF(ISNA(VLOOKUP(L15,Gruppengliederung!$B$12:$B$44,1,FALSE)),"",VLOOKUP(L15,Gruppengliederung!$B$12:$B$44,1,FALSE))</f>
        <v/>
      </c>
      <c r="O15" s="254" t="str">
        <f>IF(ISNA(VLOOKUP(L15,Gruppengliederung!$D$12:$D$44,1,FALSE)),"",VLOOKUP(L15,Gruppengliederung!$D$12:$D$44,1,FALSE))</f>
        <v/>
      </c>
      <c r="P15" s="254" t="str">
        <f>IF(ISNA(VLOOKUP(L15,Gruppengliederung!$F$12:$F$44,1,FALSE)),"",VLOOKUP(L15,Gruppengliederung!$F$12:$F$44,1,FALSE))</f>
        <v/>
      </c>
      <c r="Q15" s="254" t="str">
        <f>IF(ISNA(VLOOKUP(L15,Gruppengliederung!$H$12:$H$44,1,FALSE)),"",VLOOKUP(L15,Gruppengliederung!$H$12:$H$44,1,FALSE))</f>
        <v/>
      </c>
      <c r="R15">
        <v>12</v>
      </c>
      <c r="S15">
        <f>IF(OR(T15=V15,T15=W15,T15=X15,T15=Y15),"0",MAX(S4:S14)+1)</f>
        <v>12</v>
      </c>
      <c r="T15">
        <v>21210</v>
      </c>
      <c r="U15">
        <f t="shared" si="1"/>
        <v>21210</v>
      </c>
      <c r="V15" t="str">
        <f>IF(ISNA(VLOOKUP(T15,Gruppengliederung!$C$13:$D$47,1,FALSE)),"",VLOOKUP(T15,Gruppengliederung!$C$13:$D$47,1,FALSE))</f>
        <v/>
      </c>
      <c r="W15" t="str">
        <f>IF(ISNA(VLOOKUP(T15,Gruppengliederung!$D$12:$D$47,1,FALSE)),"",VLOOKUP(T15,Gruppengliederung!$D$12:$D$47,1,FALSE))</f>
        <v/>
      </c>
      <c r="X15" t="str">
        <f>IF(ISNA(VLOOKUP(T15,Gruppengliederung!$F$12:$F$47,1,FALSE)),"",VLOOKUP(T15,Gruppengliederung!$F$12:$F$47,1,FALSE))</f>
        <v/>
      </c>
      <c r="Y15" t="str">
        <f>IF(ISNA(VLOOKUP(T15,Gruppengliederung!$H$12:$H$47,1,FALSE)),"",VLOOKUP(T15,Gruppengliederung!$H$12:$H$47,1,FALSE))</f>
        <v/>
      </c>
    </row>
    <row r="16" spans="1:25" ht="18" customHeight="1" x14ac:dyDescent="0.25">
      <c r="A16" s="181" t="s">
        <v>194</v>
      </c>
      <c r="B16" s="183"/>
      <c r="C16" s="186" t="str">
        <f>IF(B16&lt;&gt;"",21211,"")</f>
        <v/>
      </c>
      <c r="D16" s="183"/>
      <c r="E16" s="186" t="str">
        <f>IF(D16&lt;&gt;"",21221,"")</f>
        <v/>
      </c>
      <c r="F16" s="183"/>
      <c r="G16" s="186" t="str">
        <f>IF(F16&lt;&gt;"",21231,"")</f>
        <v/>
      </c>
      <c r="H16" s="183"/>
      <c r="I16" s="186" t="str">
        <f>IF(H16&lt;&gt;"",21241,"")</f>
        <v/>
      </c>
      <c r="J16" s="254">
        <v>13</v>
      </c>
      <c r="K16" s="254">
        <f>IF(OR(L16=N16,L16=O16,L16=P16,L16=Q16),"0",MAX(K4:K15)+1)</f>
        <v>13</v>
      </c>
      <c r="L16" s="254" t="s">
        <v>182</v>
      </c>
      <c r="M16" s="254" t="str">
        <f t="shared" si="0"/>
        <v>Kuß, St.</v>
      </c>
      <c r="N16" s="254" t="str">
        <f>IF(ISNA(VLOOKUP(L16,Gruppengliederung!$B$12:$B$44,1,FALSE)),"",VLOOKUP(L16,Gruppengliederung!$B$12:$B$44,1,FALSE))</f>
        <v/>
      </c>
      <c r="O16" s="254" t="str">
        <f>IF(ISNA(VLOOKUP(L16,Gruppengliederung!$D$12:$D$44,1,FALSE)),"",VLOOKUP(L16,Gruppengliederung!$D$12:$D$44,1,FALSE))</f>
        <v/>
      </c>
      <c r="P16" s="254" t="str">
        <f>IF(ISNA(VLOOKUP(L16,Gruppengliederung!$F$12:$F$44,1,FALSE)),"",VLOOKUP(L16,Gruppengliederung!$F$12:$F$44,1,FALSE))</f>
        <v/>
      </c>
      <c r="Q16" s="254" t="str">
        <f>IF(ISNA(VLOOKUP(L16,Gruppengliederung!$H$12:$H$44,1,FALSE)),"",VLOOKUP(L16,Gruppengliederung!$H$12:$H$44,1,FALSE))</f>
        <v/>
      </c>
      <c r="R16">
        <v>13</v>
      </c>
      <c r="S16">
        <f>IF(OR(T16=V16,T16=W16,T16=X16,T16=Y16),"0",MAX(S4:S15)+1)</f>
        <v>13</v>
      </c>
      <c r="T16">
        <v>21211</v>
      </c>
      <c r="U16">
        <f t="shared" si="1"/>
        <v>21211</v>
      </c>
      <c r="V16" t="str">
        <f>IF(ISNA(VLOOKUP(T16,Gruppengliederung!$C$13:$D$47,1,FALSE)),"",VLOOKUP(T16,Gruppengliederung!$C$13:$D$47,1,FALSE))</f>
        <v/>
      </c>
      <c r="W16" t="str">
        <f>IF(ISNA(VLOOKUP(T16,Gruppengliederung!$D$12:$D$47,1,FALSE)),"",VLOOKUP(T16,Gruppengliederung!$D$12:$D$47,1,FALSE))</f>
        <v/>
      </c>
      <c r="X16" t="str">
        <f>IF(ISNA(VLOOKUP(T16,Gruppengliederung!$F$12:$F$47,1,FALSE)),"",VLOOKUP(T16,Gruppengliederung!$F$12:$F$47,1,FALSE))</f>
        <v/>
      </c>
      <c r="Y16" t="str">
        <f>IF(ISNA(VLOOKUP(T16,Gruppengliederung!$H$12:$H$47,1,FALSE)),"",VLOOKUP(T16,Gruppengliederung!$H$12:$H$47,1,FALSE))</f>
        <v/>
      </c>
    </row>
    <row r="17" spans="1:25" ht="18" customHeight="1" x14ac:dyDescent="0.25">
      <c r="A17" s="181" t="s">
        <v>195</v>
      </c>
      <c r="B17" s="183"/>
      <c r="C17" s="186" t="str">
        <f>IF(B17&lt;&gt;"",21212,"")</f>
        <v/>
      </c>
      <c r="D17" s="183"/>
      <c r="E17" s="186" t="str">
        <f>IF(D17&lt;&gt;"",21222,"")</f>
        <v/>
      </c>
      <c r="F17" s="183"/>
      <c r="G17" s="186" t="str">
        <f>IF(F17&lt;&gt;"",21232,"")</f>
        <v/>
      </c>
      <c r="H17" s="183"/>
      <c r="I17" s="186" t="str">
        <f>IF(H17&lt;&gt;"",21242,"")</f>
        <v/>
      </c>
      <c r="J17" s="254">
        <v>14</v>
      </c>
      <c r="K17" s="254">
        <f>IF(OR(L17=N17,L17=O17,L17=P17,L17=Q17),"0",MAX(K4:K16)+1)</f>
        <v>14</v>
      </c>
      <c r="L17" s="254" t="s">
        <v>183</v>
      </c>
      <c r="M17" s="254" t="str">
        <f t="shared" si="0"/>
        <v>Schröder, Ma.</v>
      </c>
      <c r="N17" s="254" t="str">
        <f>IF(ISNA(VLOOKUP(L17,Gruppengliederung!$B$12:$B$44,1,FALSE)),"",VLOOKUP(L17,Gruppengliederung!$B$12:$B$44,1,FALSE))</f>
        <v/>
      </c>
      <c r="O17" s="254" t="str">
        <f>IF(ISNA(VLOOKUP(L17,Gruppengliederung!$D$12:$D$44,1,FALSE)),"",VLOOKUP(L17,Gruppengliederung!$D$12:$D$44,1,FALSE))</f>
        <v/>
      </c>
      <c r="P17" s="254" t="str">
        <f>IF(ISNA(VLOOKUP(L17,Gruppengliederung!$F$12:$F$44,1,FALSE)),"",VLOOKUP(L17,Gruppengliederung!$F$12:$F$44,1,FALSE))</f>
        <v/>
      </c>
      <c r="Q17" s="254" t="str">
        <f>IF(ISNA(VLOOKUP(L17,Gruppengliederung!$H$12:$H$44,1,FALSE)),"",VLOOKUP(L17,Gruppengliederung!$H$12:$H$44,1,FALSE))</f>
        <v/>
      </c>
      <c r="R17">
        <v>14</v>
      </c>
      <c r="S17">
        <f>IF(OR(T17=V17,T17=W17,T17=X17,T17=Y17),"0",MAX(S4:S16)+1)</f>
        <v>14</v>
      </c>
      <c r="T17">
        <v>21212</v>
      </c>
      <c r="U17">
        <f t="shared" si="1"/>
        <v>21212</v>
      </c>
      <c r="V17" t="str">
        <f>IF(ISNA(VLOOKUP(T17,Gruppengliederung!$C$13:$D$47,1,FALSE)),"",VLOOKUP(T17,Gruppengliederung!$C$13:$D$47,1,FALSE))</f>
        <v/>
      </c>
      <c r="W17" t="str">
        <f>IF(ISNA(VLOOKUP(T17,Gruppengliederung!$D$12:$D$47,1,FALSE)),"",VLOOKUP(T17,Gruppengliederung!$D$12:$D$47,1,FALSE))</f>
        <v/>
      </c>
      <c r="X17" t="str">
        <f>IF(ISNA(VLOOKUP(T17,Gruppengliederung!$F$12:$F$47,1,FALSE)),"",VLOOKUP(T17,Gruppengliederung!$F$12:$F$47,1,FALSE))</f>
        <v/>
      </c>
      <c r="Y17" t="str">
        <f>IF(ISNA(VLOOKUP(T17,Gruppengliederung!$H$12:$H$47,1,FALSE)),"",VLOOKUP(T17,Gruppengliederung!$H$12:$H$47,1,FALSE))</f>
        <v/>
      </c>
    </row>
    <row r="18" spans="1:25" ht="18" customHeight="1" x14ac:dyDescent="0.25">
      <c r="A18" s="181" t="s">
        <v>192</v>
      </c>
      <c r="B18" s="183"/>
      <c r="C18" s="186" t="str">
        <f>IF(B18&lt;&gt;"",21213,"")</f>
        <v/>
      </c>
      <c r="D18" s="183"/>
      <c r="E18" s="186" t="str">
        <f>IF(D18&lt;&gt;"",21223,"")</f>
        <v/>
      </c>
      <c r="F18" s="183"/>
      <c r="G18" s="186" t="str">
        <f>IF(F18&lt;&gt;"",21233,"")</f>
        <v/>
      </c>
      <c r="H18" s="183"/>
      <c r="I18" s="186" t="str">
        <f>IF(H18&lt;&gt;"",21243,"")</f>
        <v/>
      </c>
      <c r="J18" s="254">
        <v>15</v>
      </c>
      <c r="K18" s="254">
        <f>IF(OR(L18=N18,L18=O18,L18=P18,L18=Q18),"0",MAX(K4:K17)+1)</f>
        <v>15</v>
      </c>
      <c r="L18" s="254" t="s">
        <v>185</v>
      </c>
      <c r="M18" s="254" t="str">
        <f t="shared" si="0"/>
        <v>Waga, Ni.</v>
      </c>
      <c r="N18" s="254" t="str">
        <f>IF(ISNA(VLOOKUP(L18,Gruppengliederung!$B$12:$B$44,1,FALSE)),"",VLOOKUP(L18,Gruppengliederung!$B$12:$B$44,1,FALSE))</f>
        <v/>
      </c>
      <c r="O18" s="254" t="str">
        <f>IF(ISNA(VLOOKUP(L18,Gruppengliederung!$D$12:$D$44,1,FALSE)),"",VLOOKUP(L18,Gruppengliederung!$D$12:$D$44,1,FALSE))</f>
        <v/>
      </c>
      <c r="P18" s="254" t="str">
        <f>IF(ISNA(VLOOKUP(L18,Gruppengliederung!$F$12:$F$44,1,FALSE)),"",VLOOKUP(L18,Gruppengliederung!$F$12:$F$44,1,FALSE))</f>
        <v/>
      </c>
      <c r="Q18" s="254" t="str">
        <f>IF(ISNA(VLOOKUP(L18,Gruppengliederung!$H$12:$H$44,1,FALSE)),"",VLOOKUP(L18,Gruppengliederung!$H$12:$H$44,1,FALSE))</f>
        <v/>
      </c>
      <c r="R18">
        <v>15</v>
      </c>
      <c r="S18">
        <f>IF(OR(T18=V18,T18=W18,T18=X18,T18=Y18),"0",MAX(S4:S17)+1)</f>
        <v>15</v>
      </c>
      <c r="T18">
        <v>21213</v>
      </c>
      <c r="U18">
        <f t="shared" si="1"/>
        <v>21213</v>
      </c>
      <c r="V18" t="str">
        <f>IF(ISNA(VLOOKUP(T18,Gruppengliederung!$C$13:$D$47,1,FALSE)),"",VLOOKUP(T18,Gruppengliederung!$C$13:$D$47,1,FALSE))</f>
        <v/>
      </c>
      <c r="W18" t="str">
        <f>IF(ISNA(VLOOKUP(T18,Gruppengliederung!$D$12:$D$47,1,FALSE)),"",VLOOKUP(T18,Gruppengliederung!$D$12:$D$47,1,FALSE))</f>
        <v/>
      </c>
      <c r="X18" t="str">
        <f>IF(ISNA(VLOOKUP(T18,Gruppengliederung!$F$12:$F$47,1,FALSE)),"",VLOOKUP(T18,Gruppengliederung!$F$12:$F$47,1,FALSE))</f>
        <v/>
      </c>
      <c r="Y18" t="str">
        <f>IF(ISNA(VLOOKUP(T18,Gruppengliederung!$H$12:$H$47,1,FALSE)),"",VLOOKUP(T18,Gruppengliederung!$H$12:$H$47,1,FALSE))</f>
        <v/>
      </c>
    </row>
    <row r="19" spans="1:25" ht="18" customHeight="1" x14ac:dyDescent="0.25">
      <c r="A19" s="181" t="s">
        <v>193</v>
      </c>
      <c r="B19" s="183"/>
      <c r="C19" s="186" t="str">
        <f>IF(B19&lt;&gt;"",21214,"")</f>
        <v/>
      </c>
      <c r="D19" s="183"/>
      <c r="E19" s="186" t="str">
        <f>IF(D19&lt;&gt;"",21224,"")</f>
        <v/>
      </c>
      <c r="F19" s="183"/>
      <c r="G19" s="186" t="str">
        <f>IF(F19&lt;&gt;"",21234,"")</f>
        <v/>
      </c>
      <c r="H19" s="183"/>
      <c r="I19" s="186" t="str">
        <f>IF(H19&lt;&gt;"",21244,"")</f>
        <v/>
      </c>
      <c r="J19" s="254">
        <v>16</v>
      </c>
      <c r="K19" s="254">
        <f>IF(OR(L19=N19,L19=O19,L19=P19,L19=Q19),"0",MAX(K4:K18)+1)</f>
        <v>16</v>
      </c>
      <c r="L19" s="254" t="s">
        <v>186</v>
      </c>
      <c r="M19" s="254" t="str">
        <f t="shared" si="0"/>
        <v>Stehr, Al.</v>
      </c>
      <c r="N19" s="254" t="str">
        <f>IF(ISNA(VLOOKUP(L19,Gruppengliederung!$B$12:$B$44,1,FALSE)),"",VLOOKUP(L19,Gruppengliederung!$B$12:$B$44,1,FALSE))</f>
        <v/>
      </c>
      <c r="O19" s="254" t="str">
        <f>IF(ISNA(VLOOKUP(L19,Gruppengliederung!$D$12:$D$44,1,FALSE)),"",VLOOKUP(L19,Gruppengliederung!$D$12:$D$44,1,FALSE))</f>
        <v/>
      </c>
      <c r="P19" s="254" t="str">
        <f>IF(ISNA(VLOOKUP(L19,Gruppengliederung!$F$12:$F$44,1,FALSE)),"",VLOOKUP(L19,Gruppengliederung!$F$12:$F$44,1,FALSE))</f>
        <v/>
      </c>
      <c r="Q19" s="254" t="str">
        <f>IF(ISNA(VLOOKUP(L19,Gruppengliederung!$H$12:$H$44,1,FALSE)),"",VLOOKUP(L19,Gruppengliederung!$H$12:$H$44,1,FALSE))</f>
        <v/>
      </c>
      <c r="R19">
        <v>16</v>
      </c>
      <c r="S19">
        <f>IF(OR(T19=V19,T19=W19,T19=X19,T19=Y19),"0",MAX(S4:S18)+1)</f>
        <v>16</v>
      </c>
      <c r="T19">
        <v>21214</v>
      </c>
      <c r="U19">
        <f t="shared" si="1"/>
        <v>21214</v>
      </c>
      <c r="V19" t="str">
        <f>IF(ISNA(VLOOKUP(T19,Gruppengliederung!$C$13:$D$47,1,FALSE)),"",VLOOKUP(T19,Gruppengliederung!$C$13:$D$47,1,FALSE))</f>
        <v/>
      </c>
      <c r="W19" t="str">
        <f>IF(ISNA(VLOOKUP(T19,Gruppengliederung!$D$12:$D$47,1,FALSE)),"",VLOOKUP(T19,Gruppengliederung!$D$12:$D$47,1,FALSE))</f>
        <v/>
      </c>
      <c r="X19" t="str">
        <f>IF(ISNA(VLOOKUP(T19,Gruppengliederung!$F$12:$F$47,1,FALSE)),"",VLOOKUP(T19,Gruppengliederung!$F$12:$F$47,1,FALSE))</f>
        <v/>
      </c>
      <c r="Y19" t="str">
        <f>IF(ISNA(VLOOKUP(T19,Gruppengliederung!$H$12:$H$47,1,FALSE)),"",VLOOKUP(T19,Gruppengliederung!$H$12:$H$47,1,FALSE))</f>
        <v/>
      </c>
    </row>
    <row r="20" spans="1:25" ht="18" customHeight="1" x14ac:dyDescent="0.25">
      <c r="A20" s="181" t="s">
        <v>129</v>
      </c>
      <c r="B20" s="183"/>
      <c r="C20" s="186" t="str">
        <f>IF(B20&lt;&gt;"",21215,"")</f>
        <v/>
      </c>
      <c r="D20" s="183"/>
      <c r="E20" s="186" t="str">
        <f>IF(D20&lt;&gt;"",21225,"")</f>
        <v/>
      </c>
      <c r="F20" s="183"/>
      <c r="G20" s="186" t="str">
        <f>IF(F20&lt;&gt;"",21235,"")</f>
        <v/>
      </c>
      <c r="H20" s="183"/>
      <c r="I20" s="186" t="str">
        <f>IF(H20&lt;&gt;"",21245,"")</f>
        <v/>
      </c>
      <c r="J20" s="254">
        <v>17</v>
      </c>
      <c r="K20" s="254">
        <f>IF(OR(L20=N20,L20=O20,L20=P20,L20=Q20),"0",MAX(K4:K19)+1)</f>
        <v>17</v>
      </c>
      <c r="L20" s="254" t="s">
        <v>187</v>
      </c>
      <c r="M20" s="254" t="str">
        <f t="shared" si="0"/>
        <v>Pfau, Se.</v>
      </c>
      <c r="N20" s="254" t="str">
        <f>IF(ISNA(VLOOKUP(L20,Gruppengliederung!$B$12:$B$44,1,FALSE)),"",VLOOKUP(L20,Gruppengliederung!$B$12:$B$44,1,FALSE))</f>
        <v/>
      </c>
      <c r="O20" s="254" t="str">
        <f>IF(ISNA(VLOOKUP(L20,Gruppengliederung!$D$12:$D$44,1,FALSE)),"",VLOOKUP(L20,Gruppengliederung!$D$12:$D$44,1,FALSE))</f>
        <v/>
      </c>
      <c r="P20" s="254" t="str">
        <f>IF(ISNA(VLOOKUP(L20,Gruppengliederung!$F$12:$F$44,1,FALSE)),"",VLOOKUP(L20,Gruppengliederung!$F$12:$F$44,1,FALSE))</f>
        <v/>
      </c>
      <c r="Q20" s="254" t="str">
        <f>IF(ISNA(VLOOKUP(L20,Gruppengliederung!$H$12:$H$44,1,FALSE)),"",VLOOKUP(L20,Gruppengliederung!$H$12:$H$44,1,FALSE))</f>
        <v/>
      </c>
      <c r="R20">
        <v>17</v>
      </c>
      <c r="S20">
        <f>IF(OR(T20=V20,T20=W20,T20=X20,T20=Y20),"0",MAX(S4:S19)+1)</f>
        <v>17</v>
      </c>
      <c r="T20">
        <v>21215</v>
      </c>
      <c r="U20">
        <f t="shared" si="1"/>
        <v>21215</v>
      </c>
      <c r="V20" t="str">
        <f>IF(ISNA(VLOOKUP(T20,Gruppengliederung!$C$13:$D$47,1,FALSE)),"",VLOOKUP(T20,Gruppengliederung!$C$13:$D$47,1,FALSE))</f>
        <v/>
      </c>
      <c r="W20" t="str">
        <f>IF(ISNA(VLOOKUP(T20,Gruppengliederung!$D$12:$D$47,1,FALSE)),"",VLOOKUP(T20,Gruppengliederung!$D$12:$D$47,1,FALSE))</f>
        <v/>
      </c>
      <c r="X20" t="str">
        <f>IF(ISNA(VLOOKUP(T20,Gruppengliederung!$F$12:$F$47,1,FALSE)),"",VLOOKUP(T20,Gruppengliederung!$F$12:$F$47,1,FALSE))</f>
        <v/>
      </c>
      <c r="Y20" t="str">
        <f>IF(ISNA(VLOOKUP(T20,Gruppengliederung!$H$12:$H$47,1,FALSE)),"",VLOOKUP(T20,Gruppengliederung!$H$12:$H$47,1,FALSE))</f>
        <v/>
      </c>
    </row>
    <row r="21" spans="1:25" ht="18" customHeight="1" x14ac:dyDescent="0.25">
      <c r="A21" s="181" t="s">
        <v>196</v>
      </c>
      <c r="B21" s="183"/>
      <c r="C21" s="186" t="str">
        <f>IF(B21&lt;&gt;"",21216,"")</f>
        <v/>
      </c>
      <c r="D21" s="183"/>
      <c r="E21" s="186" t="str">
        <f>IF(D21&lt;&gt;"",21226,"")</f>
        <v/>
      </c>
      <c r="F21" s="183"/>
      <c r="G21" s="186" t="str">
        <f>IF(F21&lt;&gt;"",21236,"")</f>
        <v/>
      </c>
      <c r="H21" s="183"/>
      <c r="I21" s="186" t="str">
        <f>IF(H21&lt;&gt;"",21246,"")</f>
        <v/>
      </c>
      <c r="J21" s="254">
        <v>18</v>
      </c>
      <c r="K21" s="254">
        <f>IF(OR(L21=N21,L21=O21,L21=P21,L21=Q21),"0",MAX(K4:K20)+1)</f>
        <v>18</v>
      </c>
      <c r="L21" s="254" t="s">
        <v>188</v>
      </c>
      <c r="M21" s="254" t="str">
        <f t="shared" si="0"/>
        <v>Beranek, Ma.</v>
      </c>
      <c r="N21" s="254" t="str">
        <f>IF(ISNA(VLOOKUP(L21,Gruppengliederung!$B$12:$B$44,1,FALSE)),"",VLOOKUP(L21,Gruppengliederung!$B$12:$B$44,1,FALSE))</f>
        <v/>
      </c>
      <c r="O21" s="254" t="str">
        <f>IF(ISNA(VLOOKUP(L21,Gruppengliederung!$D$12:$D$44,1,FALSE)),"",VLOOKUP(L21,Gruppengliederung!$D$12:$D$44,1,FALSE))</f>
        <v/>
      </c>
      <c r="P21" s="254" t="str">
        <f>IF(ISNA(VLOOKUP(L21,Gruppengliederung!$F$12:$F$44,1,FALSE)),"",VLOOKUP(L21,Gruppengliederung!$F$12:$F$44,1,FALSE))</f>
        <v/>
      </c>
      <c r="Q21" s="254" t="str">
        <f>IF(ISNA(VLOOKUP(L21,Gruppengliederung!$H$12:$H$44,1,FALSE)),"",VLOOKUP(L21,Gruppengliederung!$H$12:$H$44,1,FALSE))</f>
        <v/>
      </c>
      <c r="R21">
        <v>18</v>
      </c>
      <c r="S21">
        <f>IF(OR(T21=V21,T21=W21,T21=X21,T21=Y21),"0",MAX(S4:S20)+1)</f>
        <v>18</v>
      </c>
      <c r="T21">
        <v>21216</v>
      </c>
      <c r="U21">
        <f t="shared" si="1"/>
        <v>21216</v>
      </c>
      <c r="V21" t="str">
        <f>IF(ISNA(VLOOKUP(T21,Gruppengliederung!$C$13:$D$47,1,FALSE)),"",VLOOKUP(T21,Gruppengliederung!$C$13:$D$47,1,FALSE))</f>
        <v/>
      </c>
      <c r="W21" t="str">
        <f>IF(ISNA(VLOOKUP(T21,Gruppengliederung!$D$12:$D$47,1,FALSE)),"",VLOOKUP(T21,Gruppengliederung!$D$12:$D$47,1,FALSE))</f>
        <v/>
      </c>
      <c r="X21" t="str">
        <f>IF(ISNA(VLOOKUP(T21,Gruppengliederung!$F$12:$F$47,1,FALSE)),"",VLOOKUP(T21,Gruppengliederung!$F$12:$F$47,1,FALSE))</f>
        <v/>
      </c>
      <c r="Y21" t="str">
        <f>IF(ISNA(VLOOKUP(T21,Gruppengliederung!$H$12:$H$47,1,FALSE)),"",VLOOKUP(T21,Gruppengliederung!$H$12:$H$47,1,FALSE))</f>
        <v/>
      </c>
    </row>
    <row r="22" spans="1:25" ht="18" customHeight="1" x14ac:dyDescent="0.25">
      <c r="A22" s="181" t="s">
        <v>123</v>
      </c>
      <c r="B22" s="183"/>
      <c r="C22" s="186" t="str">
        <f>IF(B22&lt;&gt;"",21217,"")</f>
        <v/>
      </c>
      <c r="D22" s="183"/>
      <c r="E22" s="186" t="str">
        <f>IF(D22&lt;&gt;"",21227,"")</f>
        <v/>
      </c>
      <c r="F22" s="183"/>
      <c r="G22" s="186" t="str">
        <f>IF(F22&lt;&gt;"",21237,"")</f>
        <v/>
      </c>
      <c r="H22" s="183"/>
      <c r="I22" s="186" t="str">
        <f>IF(H22&lt;&gt;"",21247,"")</f>
        <v/>
      </c>
      <c r="J22" s="254"/>
      <c r="K22" s="254"/>
      <c r="L22" s="254"/>
      <c r="M22" s="254"/>
      <c r="N22" s="254"/>
      <c r="O22" s="254"/>
      <c r="P22" s="254"/>
      <c r="Q22" s="254"/>
      <c r="R22">
        <v>19</v>
      </c>
      <c r="S22">
        <f>IF(OR(T22=V22,T22=W22,T22=X22,T22=Y22),"0",MAX(S4:S21)+1)</f>
        <v>19</v>
      </c>
      <c r="T22">
        <v>21217</v>
      </c>
      <c r="U22">
        <f t="shared" si="1"/>
        <v>21217</v>
      </c>
      <c r="V22" t="str">
        <f>IF(ISNA(VLOOKUP(T22,Gruppengliederung!$C$13:$D$47,1,FALSE)),"",VLOOKUP(T22,Gruppengliederung!$C$13:$D$47,1,FALSE))</f>
        <v/>
      </c>
      <c r="W22" t="str">
        <f>IF(ISNA(VLOOKUP(T22,Gruppengliederung!$D$12:$D$47,1,FALSE)),"",VLOOKUP(T22,Gruppengliederung!$D$12:$D$47,1,FALSE))</f>
        <v/>
      </c>
      <c r="X22" t="str">
        <f>IF(ISNA(VLOOKUP(T22,Gruppengliederung!$F$12:$F$47,1,FALSE)),"",VLOOKUP(T22,Gruppengliederung!$F$12:$F$47,1,FALSE))</f>
        <v/>
      </c>
      <c r="Y22" t="str">
        <f>IF(ISNA(VLOOKUP(T22,Gruppengliederung!$H$12:$H$47,1,FALSE)),"",VLOOKUP(T22,Gruppengliederung!$H$12:$H$47,1,FALSE))</f>
        <v/>
      </c>
    </row>
    <row r="23" spans="1:25" ht="18" customHeight="1" x14ac:dyDescent="0.25">
      <c r="A23" s="181"/>
      <c r="B23" s="183"/>
      <c r="C23" s="186" t="str">
        <f>IF(B23&lt;&gt;"",21218,"")</f>
        <v/>
      </c>
      <c r="D23" s="183"/>
      <c r="E23" s="186" t="str">
        <f>IF(D23&lt;&gt;"",21228,"")</f>
        <v/>
      </c>
      <c r="F23" s="183"/>
      <c r="G23" s="186" t="str">
        <f>IF(F23&lt;&gt;"",21238,"")</f>
        <v/>
      </c>
      <c r="H23" s="183"/>
      <c r="I23" s="186" t="str">
        <f>IF(H23&lt;&gt;"",21248,"")</f>
        <v/>
      </c>
      <c r="J23" s="254"/>
      <c r="K23" s="254"/>
      <c r="L23" s="254"/>
      <c r="M23" s="254"/>
      <c r="N23" s="254"/>
      <c r="O23" s="254"/>
      <c r="P23" s="254"/>
      <c r="Q23" s="254"/>
      <c r="R23">
        <v>20</v>
      </c>
      <c r="S23">
        <f>IF(OR(T23=V23,T23=W23,T23=X23,T23=Y23),"0",MAX(S4:S22)+1)</f>
        <v>20</v>
      </c>
      <c r="T23">
        <v>21218</v>
      </c>
      <c r="U23">
        <f t="shared" si="1"/>
        <v>21218</v>
      </c>
      <c r="V23" t="str">
        <f>IF(ISNA(VLOOKUP(T23,Gruppengliederung!$C$13:$D$47,1,FALSE)),"",VLOOKUP(T23,Gruppengliederung!$C$13:$D$47,1,FALSE))</f>
        <v/>
      </c>
      <c r="W23" t="str">
        <f>IF(ISNA(VLOOKUP(T23,Gruppengliederung!$D$12:$D$47,1,FALSE)),"",VLOOKUP(T23,Gruppengliederung!$D$12:$D$47,1,FALSE))</f>
        <v/>
      </c>
      <c r="X23" t="str">
        <f>IF(ISNA(VLOOKUP(T23,Gruppengliederung!$F$12:$F$47,1,FALSE)),"",VLOOKUP(T23,Gruppengliederung!$F$12:$F$47,1,FALSE))</f>
        <v/>
      </c>
      <c r="Y23" t="str">
        <f>IF(ISNA(VLOOKUP(T23,Gruppengliederung!$H$12:$H$47,1,FALSE)),"",VLOOKUP(T23,Gruppengliederung!$H$12:$H$47,1,FALSE))</f>
        <v/>
      </c>
    </row>
    <row r="24" spans="1:25" ht="18" customHeight="1" x14ac:dyDescent="0.25">
      <c r="A24" s="181" t="s">
        <v>197</v>
      </c>
      <c r="B24" s="183"/>
      <c r="C24" s="186" t="str">
        <f>IF(B24&lt;&gt;"",21219,"")</f>
        <v/>
      </c>
      <c r="D24" s="183"/>
      <c r="E24" s="186" t="str">
        <f>IF(D24&lt;&gt;"",21229,"")</f>
        <v/>
      </c>
      <c r="F24" s="183"/>
      <c r="G24" s="186" t="str">
        <f>IF(F24&lt;&gt;"",21239,"")</f>
        <v/>
      </c>
      <c r="H24" s="183"/>
      <c r="I24" s="186" t="str">
        <f>IF(H24&lt;&gt;"",21249,"")</f>
        <v/>
      </c>
      <c r="J24" s="254"/>
      <c r="K24" s="254"/>
      <c r="L24" s="254"/>
      <c r="M24" s="254"/>
      <c r="N24" s="254"/>
      <c r="O24" s="254"/>
      <c r="P24" s="254"/>
      <c r="Q24" s="254"/>
      <c r="R24">
        <v>21</v>
      </c>
      <c r="S24">
        <f>IF(OR(T24=V24,T24=W24,T24=X24,T24=Y24),"0",MAX(S4:S23)+1)</f>
        <v>21</v>
      </c>
      <c r="T24">
        <v>21219</v>
      </c>
      <c r="U24">
        <f t="shared" si="1"/>
        <v>21219</v>
      </c>
      <c r="V24" t="str">
        <f>IF(ISNA(VLOOKUP(T24,Gruppengliederung!$C$13:$D$47,1,FALSE)),"",VLOOKUP(T24,Gruppengliederung!$C$13:$D$47,1,FALSE))</f>
        <v/>
      </c>
      <c r="W24" t="str">
        <f>IF(ISNA(VLOOKUP(T24,Gruppengliederung!$D$12:$D$47,1,FALSE)),"",VLOOKUP(T24,Gruppengliederung!$D$12:$D$47,1,FALSE))</f>
        <v/>
      </c>
      <c r="X24" t="str">
        <f>IF(ISNA(VLOOKUP(T24,Gruppengliederung!$F$12:$F$47,1,FALSE)),"",VLOOKUP(T24,Gruppengliederung!$F$12:$F$47,1,FALSE))</f>
        <v/>
      </c>
      <c r="Y24" t="str">
        <f>IF(ISNA(VLOOKUP(T24,Gruppengliederung!$H$12:$H$47,1,FALSE)),"",VLOOKUP(T24,Gruppengliederung!$H$12:$H$47,1,FALSE))</f>
        <v/>
      </c>
    </row>
    <row r="25" spans="1:25" ht="18" customHeight="1" x14ac:dyDescent="0.25">
      <c r="A25" s="181" t="s">
        <v>128</v>
      </c>
      <c r="B25" s="183"/>
      <c r="C25" s="186" t="str">
        <f>IF(B25&lt;&gt;"","2321R","")</f>
        <v/>
      </c>
      <c r="D25" s="183"/>
      <c r="E25" s="186" t="str">
        <f>IF(D25&lt;&gt;"","2322R","")</f>
        <v/>
      </c>
      <c r="F25" s="183"/>
      <c r="G25" s="186" t="str">
        <f>IF(F25&lt;&gt;"","2323R","")</f>
        <v/>
      </c>
      <c r="H25" s="183"/>
      <c r="I25" s="186"/>
      <c r="J25" s="254"/>
      <c r="K25" s="254"/>
      <c r="L25" s="254"/>
      <c r="M25" s="254"/>
      <c r="N25" s="254"/>
      <c r="O25" s="254"/>
      <c r="P25" s="254"/>
      <c r="Q25" s="254"/>
      <c r="R25">
        <v>22</v>
      </c>
      <c r="S25">
        <f>IF(OR(T25=V25,T25=W25,T25=X25,T25=Y25),"0",MAX(S4:S24)+1)</f>
        <v>22</v>
      </c>
      <c r="T25">
        <v>21220</v>
      </c>
      <c r="U25">
        <f t="shared" si="1"/>
        <v>21220</v>
      </c>
      <c r="V25" t="str">
        <f>IF(ISNA(VLOOKUP(T25,Gruppengliederung!$C$13:$D$47,1,FALSE)),"",VLOOKUP(T25,Gruppengliederung!$C$13:$D$47,1,FALSE))</f>
        <v/>
      </c>
      <c r="W25" t="str">
        <f>IF(ISNA(VLOOKUP(T25,Gruppengliederung!$D$12:$D$47,1,FALSE)),"",VLOOKUP(T25,Gruppengliederung!$D$12:$D$47,1,FALSE))</f>
        <v/>
      </c>
      <c r="X25" t="str">
        <f>IF(ISNA(VLOOKUP(T25,Gruppengliederung!$F$12:$F$47,1,FALSE)),"",VLOOKUP(T25,Gruppengliederung!$F$12:$F$47,1,FALSE))</f>
        <v/>
      </c>
      <c r="Y25" t="str">
        <f>IF(ISNA(VLOOKUP(T25,Gruppengliederung!$H$12:$H$47,1,FALSE)),"",VLOOKUP(T25,Gruppengliederung!$H$12:$H$47,1,FALSE))</f>
        <v/>
      </c>
    </row>
    <row r="26" spans="1:25" x14ac:dyDescent="0.25">
      <c r="A26" s="180" t="s">
        <v>146</v>
      </c>
      <c r="B26" s="184">
        <f>SUM(COUNTA(B13:B25))</f>
        <v>0</v>
      </c>
      <c r="C26" s="187"/>
      <c r="D26" s="184">
        <f>SUM(COUNTA(D13:D25))</f>
        <v>0</v>
      </c>
      <c r="E26" s="187"/>
      <c r="F26" s="184">
        <f>SUM(COUNTA(F13:F25))</f>
        <v>0</v>
      </c>
      <c r="G26" s="187"/>
      <c r="H26" s="184">
        <f>SUM(COUNTA(H13:H25))</f>
        <v>0</v>
      </c>
      <c r="I26" s="187"/>
      <c r="J26" s="254"/>
      <c r="K26" s="254"/>
      <c r="L26" s="254"/>
      <c r="M26" s="254"/>
      <c r="N26" s="254"/>
      <c r="O26" s="254"/>
      <c r="P26" s="254"/>
      <c r="Q26" s="254"/>
      <c r="R26">
        <v>23</v>
      </c>
      <c r="S26">
        <f>IF(OR(T26=V26,T26=W26,T26=X26,T26=Y26),"0",MAX(S4:S25)+1)</f>
        <v>23</v>
      </c>
      <c r="T26">
        <v>21221</v>
      </c>
      <c r="U26">
        <f t="shared" si="1"/>
        <v>21221</v>
      </c>
      <c r="V26" t="str">
        <f>IF(ISNA(VLOOKUP(T26,Gruppengliederung!$C$13:$D$47,1,FALSE)),"",VLOOKUP(T26,Gruppengliederung!$C$13:$D$47,1,FALSE))</f>
        <v/>
      </c>
      <c r="W26" t="str">
        <f>IF(ISNA(VLOOKUP(T26,Gruppengliederung!$D$12:$D$47,1,FALSE)),"",VLOOKUP(T26,Gruppengliederung!$D$12:$D$47,1,FALSE))</f>
        <v/>
      </c>
      <c r="X26" t="str">
        <f>IF(ISNA(VLOOKUP(T26,Gruppengliederung!$F$12:$F$47,1,FALSE)),"",VLOOKUP(T26,Gruppengliederung!$F$12:$F$47,1,FALSE))</f>
        <v/>
      </c>
      <c r="Y26" t="str">
        <f>IF(ISNA(VLOOKUP(T26,Gruppengliederung!$H$12:$H$47,1,FALSE)),"",VLOOKUP(T26,Gruppengliederung!$H$12:$H$47,1,FALSE))</f>
        <v/>
      </c>
    </row>
    <row r="27" spans="1:25" x14ac:dyDescent="0.25">
      <c r="A27" s="180"/>
      <c r="B27" s="175"/>
      <c r="C27" s="187"/>
      <c r="D27" s="175"/>
      <c r="E27" s="187"/>
      <c r="F27" s="175"/>
      <c r="G27" s="187"/>
      <c r="H27" s="175"/>
      <c r="I27" s="187"/>
      <c r="J27" s="254"/>
      <c r="K27" s="254"/>
      <c r="L27" s="254"/>
      <c r="M27" s="254"/>
      <c r="N27" s="254"/>
      <c r="O27" s="254"/>
      <c r="P27" s="254"/>
      <c r="Q27" s="254"/>
      <c r="R27">
        <v>24</v>
      </c>
      <c r="S27">
        <f>IF(OR(T27=V27,T27=W27,T27=X27,T27=Y27),"0",MAX(S4:S26)+1)</f>
        <v>24</v>
      </c>
      <c r="T27">
        <v>21222</v>
      </c>
      <c r="U27">
        <f t="shared" si="1"/>
        <v>21222</v>
      </c>
      <c r="V27" t="str">
        <f>IF(ISNA(VLOOKUP(T27,Gruppengliederung!$C$13:$D$47,1,FALSE)),"",VLOOKUP(T27,Gruppengliederung!$C$13:$D$47,1,FALSE))</f>
        <v/>
      </c>
      <c r="W27" t="str">
        <f>IF(ISNA(VLOOKUP(T27,Gruppengliederung!$D$12:$D$47,1,FALSE)),"",VLOOKUP(T27,Gruppengliederung!$D$12:$D$47,1,FALSE))</f>
        <v/>
      </c>
      <c r="X27" t="str">
        <f>IF(ISNA(VLOOKUP(T27,Gruppengliederung!$F$12:$F$47,1,FALSE)),"",VLOOKUP(T27,Gruppengliederung!$F$12:$F$47,1,FALSE))</f>
        <v/>
      </c>
      <c r="Y27" t="str">
        <f>IF(ISNA(VLOOKUP(T27,Gruppengliederung!$H$12:$H$47,1,FALSE)),"",VLOOKUP(T27,Gruppengliederung!$H$12:$H$47,1,FALSE))</f>
        <v/>
      </c>
    </row>
    <row r="28" spans="1:25" x14ac:dyDescent="0.25">
      <c r="A28" s="180"/>
      <c r="B28" s="185"/>
      <c r="C28" s="187"/>
      <c r="D28" s="185"/>
      <c r="E28" s="187"/>
      <c r="F28" s="185"/>
      <c r="G28" s="187"/>
      <c r="H28" s="185"/>
      <c r="I28" s="187"/>
      <c r="J28" s="254"/>
      <c r="K28" s="254"/>
      <c r="L28" s="254"/>
      <c r="M28" s="254"/>
      <c r="N28" s="254"/>
      <c r="O28" s="254"/>
      <c r="P28" s="254"/>
      <c r="Q28" s="254"/>
      <c r="R28">
        <v>25</v>
      </c>
      <c r="S28">
        <f>IF(OR(T28=V28,T28=W28,T28=X28,T28=Y28),"0",MAX(S4:S27)+1)</f>
        <v>25</v>
      </c>
      <c r="T28">
        <v>21223</v>
      </c>
      <c r="U28">
        <f t="shared" si="1"/>
        <v>21223</v>
      </c>
      <c r="V28" t="str">
        <f>IF(ISNA(VLOOKUP(T28,Gruppengliederung!$C$13:$D$47,1,FALSE)),"",VLOOKUP(T28,Gruppengliederung!$C$13:$D$47,1,FALSE))</f>
        <v/>
      </c>
      <c r="W28" t="str">
        <f>IF(ISNA(VLOOKUP(T28,Gruppengliederung!$D$12:$D$47,1,FALSE)),"",VLOOKUP(T28,Gruppengliederung!$D$12:$D$47,1,FALSE))</f>
        <v/>
      </c>
      <c r="X28" t="str">
        <f>IF(ISNA(VLOOKUP(T28,Gruppengliederung!$F$12:$F$47,1,FALSE)),"",VLOOKUP(T28,Gruppengliederung!$F$12:$F$47,1,FALSE))</f>
        <v/>
      </c>
      <c r="Y28" t="str">
        <f>IF(ISNA(VLOOKUP(T28,Gruppengliederung!$H$12:$H$47,1,FALSE)),"",VLOOKUP(T28,Gruppengliederung!$H$12:$H$47,1,FALSE))</f>
        <v/>
      </c>
    </row>
    <row r="29" spans="1:25" ht="5.0999999999999996" customHeight="1" x14ac:dyDescent="0.25">
      <c r="A29" s="180"/>
      <c r="B29" s="254"/>
      <c r="C29" s="187"/>
      <c r="D29" s="254"/>
      <c r="E29" s="187"/>
      <c r="F29" s="254"/>
      <c r="G29" s="187"/>
      <c r="H29" s="254"/>
      <c r="I29" s="187"/>
      <c r="J29" s="254"/>
      <c r="K29" s="254"/>
      <c r="L29" s="254"/>
      <c r="M29" s="254"/>
      <c r="N29" s="254"/>
      <c r="O29" s="254"/>
      <c r="P29" s="254"/>
      <c r="Q29" s="254"/>
      <c r="R29">
        <v>26</v>
      </c>
      <c r="S29">
        <f>IF(OR(T29=V29,T29=W29,T29=X29,T29=Y29),"0",MAX(S4:S28)+1)</f>
        <v>26</v>
      </c>
      <c r="T29">
        <v>21224</v>
      </c>
      <c r="U29">
        <f t="shared" si="1"/>
        <v>21224</v>
      </c>
      <c r="V29" t="str">
        <f>IF(ISNA(VLOOKUP(T29,Gruppengliederung!$C$13:$D$47,1,FALSE)),"",VLOOKUP(T29,Gruppengliederung!$C$13:$D$47,1,FALSE))</f>
        <v/>
      </c>
      <c r="W29" t="str">
        <f>IF(ISNA(VLOOKUP(T29,Gruppengliederung!$D$12:$D$47,1,FALSE)),"",VLOOKUP(T29,Gruppengliederung!$D$12:$D$47,1,FALSE))</f>
        <v/>
      </c>
      <c r="X29" t="str">
        <f>IF(ISNA(VLOOKUP(T29,Gruppengliederung!$F$12:$F$47,1,FALSE)),"",VLOOKUP(T29,Gruppengliederung!$F$12:$F$47,1,FALSE))</f>
        <v/>
      </c>
      <c r="Y29" t="str">
        <f>IF(ISNA(VLOOKUP(T29,Gruppengliederung!$H$12:$H$47,1,FALSE)),"",VLOOKUP(T29,Gruppengliederung!$H$12:$H$47,1,FALSE))</f>
        <v/>
      </c>
    </row>
    <row r="30" spans="1:25" ht="18" customHeight="1" x14ac:dyDescent="0.25">
      <c r="A30" s="181"/>
      <c r="B30" s="183"/>
      <c r="C30" s="186"/>
      <c r="D30" s="183"/>
      <c r="E30" s="186"/>
      <c r="F30" s="183"/>
      <c r="G30" s="186"/>
      <c r="H30" s="183"/>
      <c r="I30" s="186"/>
      <c r="J30" s="254"/>
      <c r="K30" s="254"/>
      <c r="L30" s="254"/>
      <c r="M30" s="254"/>
      <c r="N30" s="254"/>
      <c r="O30" s="254"/>
      <c r="P30" s="254"/>
      <c r="Q30" s="254"/>
      <c r="R30">
        <v>27</v>
      </c>
      <c r="S30">
        <f>IF(OR(T30=V30,T30=W30,T30=X30,T30=Y30),"0",MAX(S4:S29)+1)</f>
        <v>27</v>
      </c>
      <c r="T30">
        <v>21225</v>
      </c>
      <c r="U30">
        <f t="shared" si="1"/>
        <v>21225</v>
      </c>
      <c r="V30" t="str">
        <f>IF(ISNA(VLOOKUP(T30,Gruppengliederung!$C$13:$D$47,1,FALSE)),"",VLOOKUP(T30,Gruppengliederung!$C$13:$D$47,1,FALSE))</f>
        <v/>
      </c>
      <c r="W30" t="str">
        <f>IF(ISNA(VLOOKUP(T30,Gruppengliederung!$D$12:$D$47,1,FALSE)),"",VLOOKUP(T30,Gruppengliederung!$D$12:$D$47,1,FALSE))</f>
        <v/>
      </c>
      <c r="X30" t="str">
        <f>IF(ISNA(VLOOKUP(T30,Gruppengliederung!$F$12:$F$47,1,FALSE)),"",VLOOKUP(T30,Gruppengliederung!$F$12:$F$47,1,FALSE))</f>
        <v/>
      </c>
      <c r="Y30" t="str">
        <f>IF(ISNA(VLOOKUP(T30,Gruppengliederung!$H$12:$H$47,1,FALSE)),"",VLOOKUP(T30,Gruppengliederung!$H$12:$H$47,1,FALSE))</f>
        <v/>
      </c>
    </row>
    <row r="31" spans="1:25" ht="18" customHeight="1" x14ac:dyDescent="0.25">
      <c r="A31" s="181"/>
      <c r="B31" s="183"/>
      <c r="C31" s="186"/>
      <c r="D31" s="183"/>
      <c r="E31" s="186"/>
      <c r="F31" s="183"/>
      <c r="G31" s="186"/>
      <c r="H31" s="183"/>
      <c r="I31" s="186"/>
      <c r="J31" s="254"/>
      <c r="K31" s="254"/>
      <c r="L31" s="254"/>
      <c r="M31" s="254"/>
      <c r="N31" s="254"/>
      <c r="O31" s="254"/>
      <c r="P31" s="254"/>
      <c r="Q31" s="254"/>
      <c r="R31">
        <v>28</v>
      </c>
      <c r="S31">
        <f>IF(OR(T31=V31,T31=W31,T31=X31,T31=Y31),"0",MAX(S4:S30)+1)</f>
        <v>28</v>
      </c>
      <c r="T31">
        <v>21226</v>
      </c>
      <c r="U31">
        <f t="shared" si="1"/>
        <v>21226</v>
      </c>
      <c r="V31" t="str">
        <f>IF(ISNA(VLOOKUP(T31,Gruppengliederung!$C$13:$D$47,1,FALSE)),"",VLOOKUP(T31,Gruppengliederung!$C$13:$D$47,1,FALSE))</f>
        <v/>
      </c>
      <c r="W31" t="str">
        <f>IF(ISNA(VLOOKUP(T31,Gruppengliederung!$D$12:$D$47,1,FALSE)),"",VLOOKUP(T31,Gruppengliederung!$D$12:$D$47,1,FALSE))</f>
        <v/>
      </c>
      <c r="X31" t="str">
        <f>IF(ISNA(VLOOKUP(T31,Gruppengliederung!$F$12:$F$47,1,FALSE)),"",VLOOKUP(T31,Gruppengliederung!$F$12:$F$47,1,FALSE))</f>
        <v/>
      </c>
      <c r="Y31" t="str">
        <f>IF(ISNA(VLOOKUP(T31,Gruppengliederung!$H$12:$H$47,1,FALSE)),"",VLOOKUP(T31,Gruppengliederung!$H$12:$H$47,1,FALSE))</f>
        <v/>
      </c>
    </row>
    <row r="32" spans="1:25" ht="18" customHeight="1" x14ac:dyDescent="0.25">
      <c r="A32" s="181"/>
      <c r="B32" s="183"/>
      <c r="C32" s="186"/>
      <c r="D32" s="183"/>
      <c r="E32" s="186"/>
      <c r="F32" s="183"/>
      <c r="G32" s="186"/>
      <c r="H32" s="183"/>
      <c r="I32" s="186"/>
      <c r="J32" s="254"/>
      <c r="K32" s="254"/>
      <c r="L32" s="254"/>
      <c r="M32" s="254"/>
      <c r="N32" s="254"/>
      <c r="O32" s="254"/>
      <c r="P32" s="254"/>
      <c r="Q32" s="254"/>
      <c r="R32">
        <v>29</v>
      </c>
      <c r="S32">
        <f>IF(OR(T32=V32,T32=W32,T32=X32,T32=Y32),"0",MAX(S4:S31)+1)</f>
        <v>29</v>
      </c>
      <c r="T32">
        <v>21227</v>
      </c>
      <c r="U32">
        <f t="shared" si="1"/>
        <v>21227</v>
      </c>
      <c r="V32" t="str">
        <f>IF(ISNA(VLOOKUP(T32,Gruppengliederung!$C$13:$D$47,1,FALSE)),"",VLOOKUP(T32,Gruppengliederung!$C$13:$D$47,1,FALSE))</f>
        <v/>
      </c>
      <c r="W32" t="str">
        <f>IF(ISNA(VLOOKUP(T32,Gruppengliederung!$D$12:$D$47,1,FALSE)),"",VLOOKUP(T32,Gruppengliederung!$D$12:$D$47,1,FALSE))</f>
        <v/>
      </c>
      <c r="X32" t="str">
        <f>IF(ISNA(VLOOKUP(T32,Gruppengliederung!$F$12:$F$47,1,FALSE)),"",VLOOKUP(T32,Gruppengliederung!$F$12:$F$47,1,FALSE))</f>
        <v/>
      </c>
      <c r="Y32" t="str">
        <f>IF(ISNA(VLOOKUP(T32,Gruppengliederung!$H$12:$H$47,1,FALSE)),"",VLOOKUP(T32,Gruppengliederung!$H$12:$H$47,1,FALSE))</f>
        <v/>
      </c>
    </row>
    <row r="33" spans="1:25" ht="18" customHeight="1" x14ac:dyDescent="0.25">
      <c r="A33" s="181"/>
      <c r="B33" s="183"/>
      <c r="C33" s="186"/>
      <c r="D33" s="183"/>
      <c r="E33" s="186"/>
      <c r="F33" s="183"/>
      <c r="G33" s="186"/>
      <c r="H33" s="183"/>
      <c r="I33" s="186"/>
      <c r="J33" s="254"/>
      <c r="K33" s="254"/>
      <c r="L33" s="254"/>
      <c r="M33" s="254"/>
      <c r="N33" s="254"/>
      <c r="O33" s="254"/>
      <c r="P33" s="254"/>
      <c r="Q33" s="254"/>
      <c r="R33">
        <v>30</v>
      </c>
      <c r="S33">
        <f>IF(OR(T33=V33,T33=W33,T33=X33,T33=Y33),"0",MAX(S4:S32)+1)</f>
        <v>30</v>
      </c>
      <c r="T33">
        <v>21228</v>
      </c>
      <c r="U33">
        <f t="shared" si="1"/>
        <v>21228</v>
      </c>
      <c r="V33" t="str">
        <f>IF(ISNA(VLOOKUP(T33,Gruppengliederung!$C$13:$D$47,1,FALSE)),"",VLOOKUP(T33,Gruppengliederung!$C$13:$D$47,1,FALSE))</f>
        <v/>
      </c>
      <c r="W33" t="str">
        <f>IF(ISNA(VLOOKUP(T33,Gruppengliederung!$D$12:$D$47,1,FALSE)),"",VLOOKUP(T33,Gruppengliederung!$D$12:$D$47,1,FALSE))</f>
        <v/>
      </c>
      <c r="X33" t="str">
        <f>IF(ISNA(VLOOKUP(T33,Gruppengliederung!$F$12:$F$47,1,FALSE)),"",VLOOKUP(T33,Gruppengliederung!$F$12:$F$47,1,FALSE))</f>
        <v/>
      </c>
      <c r="Y33" t="str">
        <f>IF(ISNA(VLOOKUP(T33,Gruppengliederung!$H$12:$H$47,1,FALSE)),"",VLOOKUP(T33,Gruppengliederung!$H$12:$H$47,1,FALSE))</f>
        <v/>
      </c>
    </row>
    <row r="34" spans="1:25" ht="18" customHeight="1" x14ac:dyDescent="0.25">
      <c r="A34" s="181"/>
      <c r="B34" s="183"/>
      <c r="C34" s="186"/>
      <c r="D34" s="183"/>
      <c r="E34" s="186"/>
      <c r="F34" s="183"/>
      <c r="G34" s="186"/>
      <c r="H34" s="183"/>
      <c r="I34" s="186"/>
      <c r="J34" s="254"/>
      <c r="K34" s="254"/>
      <c r="L34" s="254"/>
      <c r="M34" s="254"/>
      <c r="N34" s="254"/>
      <c r="O34" s="254"/>
      <c r="P34" s="254"/>
      <c r="Q34" s="254"/>
      <c r="R34">
        <v>31</v>
      </c>
      <c r="S34">
        <f>IF(OR(T34=V34,T34=W34,T34=X34,T34=Y34),"0",MAX(S4:S33)+1)</f>
        <v>31</v>
      </c>
      <c r="T34">
        <v>21229</v>
      </c>
      <c r="U34">
        <f t="shared" si="1"/>
        <v>21229</v>
      </c>
      <c r="V34" t="str">
        <f>IF(ISNA(VLOOKUP(T34,Gruppengliederung!$C$13:$D$47,1,FALSE)),"",VLOOKUP(T34,Gruppengliederung!$C$13:$D$47,1,FALSE))</f>
        <v/>
      </c>
      <c r="W34" t="str">
        <f>IF(ISNA(VLOOKUP(T34,Gruppengliederung!$D$12:$D$47,1,FALSE)),"",VLOOKUP(T34,Gruppengliederung!$D$12:$D$47,1,FALSE))</f>
        <v/>
      </c>
      <c r="X34" t="str">
        <f>IF(ISNA(VLOOKUP(T34,Gruppengliederung!$F$12:$F$47,1,FALSE)),"",VLOOKUP(T34,Gruppengliederung!$F$12:$F$47,1,FALSE))</f>
        <v/>
      </c>
      <c r="Y34" t="str">
        <f>IF(ISNA(VLOOKUP(T34,Gruppengliederung!$H$12:$H$47,1,FALSE)),"",VLOOKUP(T34,Gruppengliederung!$H$12:$H$47,1,FALSE))</f>
        <v/>
      </c>
    </row>
    <row r="35" spans="1:25" ht="18" customHeight="1" x14ac:dyDescent="0.25">
      <c r="A35" s="181"/>
      <c r="B35" s="183"/>
      <c r="C35" s="186"/>
      <c r="D35" s="183"/>
      <c r="E35" s="186"/>
      <c r="F35" s="183"/>
      <c r="G35" s="186"/>
      <c r="H35" s="183"/>
      <c r="I35" s="186"/>
      <c r="J35" s="254"/>
      <c r="K35" s="254"/>
      <c r="L35" s="254"/>
      <c r="M35" s="254"/>
      <c r="N35" s="254"/>
      <c r="O35" s="254"/>
      <c r="P35" s="254"/>
      <c r="Q35" s="254"/>
      <c r="R35">
        <v>32</v>
      </c>
      <c r="S35">
        <f>IF(OR(T35=V35,T35=W35,T35=X35,T35=Y35),"0",MAX(S4:S34)+1)</f>
        <v>32</v>
      </c>
      <c r="T35">
        <v>21230</v>
      </c>
      <c r="U35">
        <f t="shared" si="1"/>
        <v>21230</v>
      </c>
      <c r="V35" t="str">
        <f>IF(ISNA(VLOOKUP(T35,Gruppengliederung!$C$13:$D$47,1,FALSE)),"",VLOOKUP(T35,Gruppengliederung!$C$13:$D$47,1,FALSE))</f>
        <v/>
      </c>
      <c r="W35" t="str">
        <f>IF(ISNA(VLOOKUP(T35,Gruppengliederung!$D$12:$D$47,1,FALSE)),"",VLOOKUP(T35,Gruppengliederung!$D$12:$D$47,1,FALSE))</f>
        <v/>
      </c>
      <c r="X35" t="str">
        <f>IF(ISNA(VLOOKUP(T35,Gruppengliederung!$F$12:$F$47,1,FALSE)),"",VLOOKUP(T35,Gruppengliederung!$F$12:$F$47,1,FALSE))</f>
        <v/>
      </c>
      <c r="Y35" t="str">
        <f>IF(ISNA(VLOOKUP(T35,Gruppengliederung!$H$12:$H$47,1,FALSE)),"",VLOOKUP(T35,Gruppengliederung!$H$12:$H$47,1,FALSE))</f>
        <v/>
      </c>
    </row>
    <row r="36" spans="1:25" x14ac:dyDescent="0.25">
      <c r="A36" s="180" t="s">
        <v>146</v>
      </c>
      <c r="B36" s="184">
        <f>SUM(COUNTA(B30:B35))</f>
        <v>0</v>
      </c>
      <c r="C36" s="187"/>
      <c r="D36" s="184">
        <f>SUM(COUNTA(D30:D35))</f>
        <v>0</v>
      </c>
      <c r="E36" s="187"/>
      <c r="F36" s="184">
        <f>SUM(COUNTA(F30:F35))</f>
        <v>0</v>
      </c>
      <c r="G36" s="187"/>
      <c r="H36" s="184">
        <f>SUM(COUNTA(H30:H35))</f>
        <v>0</v>
      </c>
      <c r="I36" s="187"/>
      <c r="J36" s="254"/>
      <c r="K36" s="254"/>
      <c r="L36" s="254"/>
      <c r="M36" s="254"/>
      <c r="N36" s="254"/>
      <c r="O36" s="254"/>
      <c r="P36" s="254"/>
      <c r="Q36" s="254"/>
      <c r="R36">
        <v>33</v>
      </c>
      <c r="S36">
        <f>IF(OR(T36=V36,T36=W36,T36=X36,T36=Y36),"0",MAX(S4:S35)+1)</f>
        <v>33</v>
      </c>
      <c r="T36">
        <v>21231</v>
      </c>
      <c r="U36">
        <f t="shared" si="1"/>
        <v>21231</v>
      </c>
      <c r="V36" t="str">
        <f>IF(ISNA(VLOOKUP(T36,Gruppengliederung!$C$13:$D$47,1,FALSE)),"",VLOOKUP(T36,Gruppengliederung!$C$13:$D$47,1,FALSE))</f>
        <v/>
      </c>
      <c r="W36" t="str">
        <f>IF(ISNA(VLOOKUP(T36,Gruppengliederung!$D$12:$D$47,1,FALSE)),"",VLOOKUP(T36,Gruppengliederung!$D$12:$D$47,1,FALSE))</f>
        <v/>
      </c>
      <c r="X36" t="str">
        <f>IF(ISNA(VLOOKUP(T36,Gruppengliederung!$F$12:$F$47,1,FALSE)),"",VLOOKUP(T36,Gruppengliederung!$F$12:$F$47,1,FALSE))</f>
        <v/>
      </c>
      <c r="Y36" t="str">
        <f>IF(ISNA(VLOOKUP(T36,Gruppengliederung!$H$12:$H$47,1,FALSE)),"",VLOOKUP(T36,Gruppengliederung!$H$12:$H$47,1,FALSE))</f>
        <v/>
      </c>
    </row>
    <row r="37" spans="1:25" x14ac:dyDescent="0.25">
      <c r="A37" s="180"/>
      <c r="B37" s="175"/>
      <c r="C37" s="187"/>
      <c r="D37" s="175"/>
      <c r="E37" s="187"/>
      <c r="F37" s="175"/>
      <c r="G37" s="187"/>
      <c r="H37" s="175"/>
      <c r="I37" s="187"/>
      <c r="J37" s="254"/>
      <c r="K37" s="254"/>
      <c r="L37" s="254"/>
      <c r="M37" s="254"/>
      <c r="N37" s="254"/>
      <c r="O37" s="254"/>
      <c r="P37" s="254"/>
      <c r="Q37" s="254"/>
      <c r="R37">
        <v>34</v>
      </c>
      <c r="S37">
        <f>IF(OR(T37=V37,T37=W37,T37=X37,T37=Y37),"0",MAX(S4:S36)+1)</f>
        <v>34</v>
      </c>
      <c r="T37">
        <v>21232</v>
      </c>
      <c r="U37">
        <f t="shared" si="1"/>
        <v>21232</v>
      </c>
      <c r="V37" t="str">
        <f>IF(ISNA(VLOOKUP(T37,Gruppengliederung!$C$13:$D$47,1,FALSE)),"",VLOOKUP(T37,Gruppengliederung!$C$13:$D$47,1,FALSE))</f>
        <v/>
      </c>
      <c r="W37" t="str">
        <f>IF(ISNA(VLOOKUP(T37,Gruppengliederung!$D$12:$D$47,1,FALSE)),"",VLOOKUP(T37,Gruppengliederung!$D$12:$D$47,1,FALSE))</f>
        <v/>
      </c>
      <c r="X37" t="str">
        <f>IF(ISNA(VLOOKUP(T37,Gruppengliederung!$F$12:$F$47,1,FALSE)),"",VLOOKUP(T37,Gruppengliederung!$F$12:$F$47,1,FALSE))</f>
        <v/>
      </c>
      <c r="Y37" t="str">
        <f>IF(ISNA(VLOOKUP(T37,Gruppengliederung!$H$12:$H$47,1,FALSE)),"",VLOOKUP(T37,Gruppengliederung!$H$12:$H$47,1,FALSE))</f>
        <v/>
      </c>
    </row>
    <row r="38" spans="1:25" x14ac:dyDescent="0.25">
      <c r="A38" s="180"/>
      <c r="B38" s="185"/>
      <c r="C38" s="187"/>
      <c r="D38" s="185"/>
      <c r="E38" s="187"/>
      <c r="F38" s="185"/>
      <c r="G38" s="187"/>
      <c r="H38" s="185"/>
      <c r="I38" s="187"/>
      <c r="J38" s="254"/>
      <c r="K38" s="254"/>
      <c r="L38" s="254"/>
      <c r="M38" s="254"/>
      <c r="N38" s="254"/>
      <c r="O38" s="254"/>
      <c r="P38" s="254"/>
      <c r="Q38" s="254"/>
      <c r="R38">
        <v>35</v>
      </c>
      <c r="S38">
        <f>IF(OR(T38=V38,T38=W38,T38=X38,T38=Y38),"0",MAX(S4:S37)+1)</f>
        <v>35</v>
      </c>
      <c r="T38">
        <v>21233</v>
      </c>
      <c r="U38">
        <f t="shared" si="1"/>
        <v>21233</v>
      </c>
      <c r="V38" t="str">
        <f>IF(ISNA(VLOOKUP(T38,Gruppengliederung!$C$13:$D$47,1,FALSE)),"",VLOOKUP(T38,Gruppengliederung!$C$13:$D$47,1,FALSE))</f>
        <v/>
      </c>
      <c r="W38" t="str">
        <f>IF(ISNA(VLOOKUP(T38,Gruppengliederung!$D$12:$D$47,1,FALSE)),"",VLOOKUP(T38,Gruppengliederung!$D$12:$D$47,1,FALSE))</f>
        <v/>
      </c>
      <c r="X38" t="str">
        <f>IF(ISNA(VLOOKUP(T38,Gruppengliederung!$F$12:$F$47,1,FALSE)),"",VLOOKUP(T38,Gruppengliederung!$F$12:$F$47,1,FALSE))</f>
        <v/>
      </c>
      <c r="Y38" t="str">
        <f>IF(ISNA(VLOOKUP(T38,Gruppengliederung!$H$12:$H$47,1,FALSE)),"",VLOOKUP(T38,Gruppengliederung!$H$12:$H$47,1,FALSE))</f>
        <v/>
      </c>
    </row>
    <row r="39" spans="1:25" ht="5.0999999999999996" customHeight="1" x14ac:dyDescent="0.25">
      <c r="A39" s="180"/>
      <c r="B39" s="254"/>
      <c r="C39" s="187"/>
      <c r="D39" s="254"/>
      <c r="E39" s="187"/>
      <c r="F39" s="254"/>
      <c r="G39" s="187"/>
      <c r="H39" s="254"/>
      <c r="I39" s="187"/>
      <c r="J39" s="254"/>
      <c r="K39" s="254"/>
      <c r="L39" s="254"/>
      <c r="M39" s="254"/>
      <c r="N39" s="254"/>
      <c r="O39" s="254"/>
      <c r="P39" s="254"/>
      <c r="Q39" s="254"/>
      <c r="R39">
        <v>36</v>
      </c>
      <c r="S39">
        <f>IF(OR(T39=V39,T39=W39,T39=X39,T39=Y39),"0",MAX(S4:S38)+1)</f>
        <v>36</v>
      </c>
      <c r="T39">
        <v>21234</v>
      </c>
      <c r="U39">
        <f t="shared" si="1"/>
        <v>21234</v>
      </c>
      <c r="V39" t="str">
        <f>IF(ISNA(VLOOKUP(T39,Gruppengliederung!$C$13:$D$47,1,FALSE)),"",VLOOKUP(T39,Gruppengliederung!$C$13:$D$47,1,FALSE))</f>
        <v/>
      </c>
      <c r="W39" t="str">
        <f>IF(ISNA(VLOOKUP(T39,Gruppengliederung!$D$12:$D$47,1,FALSE)),"",VLOOKUP(T39,Gruppengliederung!$D$12:$D$47,1,FALSE))</f>
        <v/>
      </c>
      <c r="X39" t="str">
        <f>IF(ISNA(VLOOKUP(T39,Gruppengliederung!$F$12:$F$47,1,FALSE)),"",VLOOKUP(T39,Gruppengliederung!$F$12:$F$47,1,FALSE))</f>
        <v/>
      </c>
      <c r="Y39" t="str">
        <f>IF(ISNA(VLOOKUP(T39,Gruppengliederung!$H$12:$H$47,1,FALSE)),"",VLOOKUP(T39,Gruppengliederung!$H$12:$H$47,1,FALSE))</f>
        <v/>
      </c>
    </row>
    <row r="40" spans="1:25" ht="18" customHeight="1" x14ac:dyDescent="0.25">
      <c r="A40" s="181"/>
      <c r="B40" s="183"/>
      <c r="C40" s="186"/>
      <c r="D40" s="183"/>
      <c r="E40" s="186"/>
      <c r="F40" s="183"/>
      <c r="G40" s="186"/>
      <c r="H40" s="183"/>
      <c r="I40" s="186"/>
      <c r="J40" s="254"/>
      <c r="K40" s="254"/>
      <c r="L40" s="254"/>
      <c r="M40" s="254"/>
      <c r="N40" s="254"/>
      <c r="O40" s="254"/>
      <c r="P40" s="254"/>
      <c r="Q40" s="254"/>
      <c r="R40">
        <v>37</v>
      </c>
      <c r="S40">
        <f>IF(OR(T40=V40,T40=W40,T40=X40,T40=Y40),"0",MAX(S4:S39)+1)</f>
        <v>37</v>
      </c>
      <c r="T40">
        <v>21235</v>
      </c>
      <c r="U40">
        <f t="shared" si="1"/>
        <v>21235</v>
      </c>
      <c r="V40" t="str">
        <f>IF(ISNA(VLOOKUP(T40,Gruppengliederung!$C$13:$D$47,1,FALSE)),"",VLOOKUP(T40,Gruppengliederung!$C$13:$D$47,1,FALSE))</f>
        <v/>
      </c>
      <c r="W40" t="str">
        <f>IF(ISNA(VLOOKUP(T40,Gruppengliederung!$D$12:$D$47,1,FALSE)),"",VLOOKUP(T40,Gruppengliederung!$D$12:$D$47,1,FALSE))</f>
        <v/>
      </c>
      <c r="X40" t="str">
        <f>IF(ISNA(VLOOKUP(T40,Gruppengliederung!$F$12:$F$47,1,FALSE)),"",VLOOKUP(T40,Gruppengliederung!$F$12:$F$47,1,FALSE))</f>
        <v/>
      </c>
      <c r="Y40" t="str">
        <f>IF(ISNA(VLOOKUP(T40,Gruppengliederung!$H$12:$H$47,1,FALSE)),"",VLOOKUP(T40,Gruppengliederung!$H$12:$H$47,1,FALSE))</f>
        <v/>
      </c>
    </row>
    <row r="41" spans="1:25" ht="18" customHeight="1" x14ac:dyDescent="0.25">
      <c r="A41" s="181"/>
      <c r="B41" s="183"/>
      <c r="C41" s="186"/>
      <c r="D41" s="183"/>
      <c r="E41" s="186"/>
      <c r="F41" s="183"/>
      <c r="G41" s="186"/>
      <c r="H41" s="183"/>
      <c r="I41" s="186"/>
      <c r="J41" s="254"/>
      <c r="K41" s="254"/>
      <c r="L41" s="254"/>
      <c r="M41" s="254"/>
      <c r="N41" s="254"/>
      <c r="O41" s="254"/>
      <c r="P41" s="254"/>
      <c r="Q41" s="254"/>
      <c r="R41">
        <v>38</v>
      </c>
      <c r="S41">
        <f>IF(OR(T41=V41,T41=W41,T41=X41,T41=Y41),"0",MAX(S4:S40)+1)</f>
        <v>38</v>
      </c>
      <c r="T41">
        <v>21236</v>
      </c>
      <c r="U41">
        <f t="shared" si="1"/>
        <v>21236</v>
      </c>
      <c r="V41" t="str">
        <f>IF(ISNA(VLOOKUP(T41,Gruppengliederung!$C$13:$D$47,1,FALSE)),"",VLOOKUP(T41,Gruppengliederung!$C$13:$D$47,1,FALSE))</f>
        <v/>
      </c>
      <c r="W41" t="str">
        <f>IF(ISNA(VLOOKUP(T41,Gruppengliederung!$D$12:$D$47,1,FALSE)),"",VLOOKUP(T41,Gruppengliederung!$D$12:$D$47,1,FALSE))</f>
        <v/>
      </c>
      <c r="X41" t="str">
        <f>IF(ISNA(VLOOKUP(T41,Gruppengliederung!$F$12:$F$47,1,FALSE)),"",VLOOKUP(T41,Gruppengliederung!$F$12:$F$47,1,FALSE))</f>
        <v/>
      </c>
      <c r="Y41" t="str">
        <f>IF(ISNA(VLOOKUP(T41,Gruppengliederung!$H$12:$H$47,1,FALSE)),"",VLOOKUP(T41,Gruppengliederung!$H$12:$H$47,1,FALSE))</f>
        <v/>
      </c>
    </row>
    <row r="42" spans="1:25" ht="18" customHeight="1" x14ac:dyDescent="0.25">
      <c r="A42" s="181"/>
      <c r="B42" s="183"/>
      <c r="C42" s="186"/>
      <c r="D42" s="183"/>
      <c r="E42" s="186"/>
      <c r="F42" s="183"/>
      <c r="G42" s="186"/>
      <c r="H42" s="183"/>
      <c r="I42" s="186"/>
      <c r="J42" s="254"/>
      <c r="K42" s="254"/>
      <c r="L42" s="254"/>
      <c r="M42" s="254"/>
      <c r="N42" s="254"/>
      <c r="O42" s="254"/>
      <c r="P42" s="254"/>
      <c r="Q42" s="254"/>
      <c r="R42">
        <v>39</v>
      </c>
      <c r="S42">
        <f>IF(OR(T42=V42,T42=W42,T42=X42,T42=Y42),"0",MAX(S4:S41)+1)</f>
        <v>39</v>
      </c>
      <c r="T42">
        <v>21237</v>
      </c>
      <c r="U42">
        <f t="shared" si="1"/>
        <v>21237</v>
      </c>
      <c r="V42" t="str">
        <f>IF(ISNA(VLOOKUP(T42,Gruppengliederung!$C$13:$D$47,1,FALSE)),"",VLOOKUP(T42,Gruppengliederung!$C$13:$D$47,1,FALSE))</f>
        <v/>
      </c>
      <c r="W42" t="str">
        <f>IF(ISNA(VLOOKUP(T42,Gruppengliederung!$D$12:$D$47,1,FALSE)),"",VLOOKUP(T42,Gruppengliederung!$D$12:$D$47,1,FALSE))</f>
        <v/>
      </c>
      <c r="X42" t="str">
        <f>IF(ISNA(VLOOKUP(T42,Gruppengliederung!$F$12:$F$47,1,FALSE)),"",VLOOKUP(T42,Gruppengliederung!$F$12:$F$47,1,FALSE))</f>
        <v/>
      </c>
      <c r="Y42" t="str">
        <f>IF(ISNA(VLOOKUP(T42,Gruppengliederung!$H$12:$H$47,1,FALSE)),"",VLOOKUP(T42,Gruppengliederung!$H$12:$H$47,1,FALSE))</f>
        <v/>
      </c>
    </row>
    <row r="43" spans="1:25" ht="18" customHeight="1" x14ac:dyDescent="0.25">
      <c r="A43" s="181"/>
      <c r="B43" s="183"/>
      <c r="C43" s="186"/>
      <c r="D43" s="183"/>
      <c r="E43" s="186"/>
      <c r="F43" s="183"/>
      <c r="G43" s="186"/>
      <c r="H43" s="183"/>
      <c r="I43" s="186"/>
      <c r="J43" s="254"/>
      <c r="K43" s="254"/>
      <c r="L43" s="254"/>
      <c r="M43" s="254"/>
      <c r="N43" s="254"/>
      <c r="O43" s="254"/>
      <c r="P43" s="254"/>
      <c r="Q43" s="254"/>
      <c r="R43">
        <v>40</v>
      </c>
      <c r="S43">
        <f>IF(OR(T43=V43,T43=W43,T43=X43,T43=Y43),"0",MAX(S4:S42)+1)</f>
        <v>40</v>
      </c>
      <c r="T43">
        <v>21238</v>
      </c>
      <c r="U43">
        <f t="shared" si="1"/>
        <v>21238</v>
      </c>
      <c r="V43" t="str">
        <f>IF(ISNA(VLOOKUP(T43,Gruppengliederung!$C$13:$D$47,1,FALSE)),"",VLOOKUP(T43,Gruppengliederung!$C$13:$D$47,1,FALSE))</f>
        <v/>
      </c>
      <c r="W43" t="str">
        <f>IF(ISNA(VLOOKUP(T43,Gruppengliederung!$D$12:$D$47,1,FALSE)),"",VLOOKUP(T43,Gruppengliederung!$D$12:$D$47,1,FALSE))</f>
        <v/>
      </c>
      <c r="X43" t="str">
        <f>IF(ISNA(VLOOKUP(T43,Gruppengliederung!$F$12:$F$47,1,FALSE)),"",VLOOKUP(T43,Gruppengliederung!$F$12:$F$47,1,FALSE))</f>
        <v/>
      </c>
      <c r="Y43" t="str">
        <f>IF(ISNA(VLOOKUP(T43,Gruppengliederung!$H$12:$H$47,1,FALSE)),"",VLOOKUP(T43,Gruppengliederung!$H$12:$H$47,1,FALSE))</f>
        <v/>
      </c>
    </row>
    <row r="44" spans="1:25" ht="18" customHeight="1" x14ac:dyDescent="0.25">
      <c r="A44" s="181"/>
      <c r="B44" s="183"/>
      <c r="C44" s="186"/>
      <c r="D44" s="183"/>
      <c r="E44" s="186"/>
      <c r="F44" s="183"/>
      <c r="G44" s="186"/>
      <c r="H44" s="183"/>
      <c r="I44" s="186"/>
      <c r="J44" s="254"/>
      <c r="K44" s="254"/>
      <c r="L44" s="254"/>
      <c r="M44" s="254"/>
      <c r="N44" s="254"/>
      <c r="O44" s="254"/>
      <c r="P44" s="254"/>
      <c r="Q44" s="254"/>
      <c r="R44">
        <v>41</v>
      </c>
      <c r="S44">
        <f>IF(OR(T44=V44,T44=W44,T44=X44,T44=Y44),"0",MAX(S4:S43)+1)</f>
        <v>41</v>
      </c>
      <c r="T44">
        <v>21239</v>
      </c>
      <c r="U44">
        <f t="shared" si="1"/>
        <v>21239</v>
      </c>
      <c r="V44" t="str">
        <f>IF(ISNA(VLOOKUP(T44,Gruppengliederung!$C$13:$D$47,1,FALSE)),"",VLOOKUP(T44,Gruppengliederung!$C$13:$D$47,1,FALSE))</f>
        <v/>
      </c>
      <c r="W44" t="str">
        <f>IF(ISNA(VLOOKUP(T44,Gruppengliederung!$D$12:$D$47,1,FALSE)),"",VLOOKUP(T44,Gruppengliederung!$D$12:$D$47,1,FALSE))</f>
        <v/>
      </c>
      <c r="X44" t="str">
        <f>IF(ISNA(VLOOKUP(T44,Gruppengliederung!$F$12:$F$47,1,FALSE)),"",VLOOKUP(T44,Gruppengliederung!$F$12:$F$47,1,FALSE))</f>
        <v/>
      </c>
      <c r="Y44" t="str">
        <f>IF(ISNA(VLOOKUP(T44,Gruppengliederung!$H$12:$H$47,1,FALSE)),"",VLOOKUP(T44,Gruppengliederung!$H$12:$H$47,1,FALSE))</f>
        <v/>
      </c>
    </row>
    <row r="45" spans="1:25" ht="18" customHeight="1" x14ac:dyDescent="0.25">
      <c r="A45" s="181"/>
      <c r="B45" s="183"/>
      <c r="C45" s="186"/>
      <c r="D45" s="183"/>
      <c r="E45" s="186"/>
      <c r="F45" s="183"/>
      <c r="G45" s="186"/>
      <c r="H45" s="183"/>
      <c r="I45" s="186"/>
      <c r="J45" s="254"/>
      <c r="K45" s="254"/>
      <c r="L45" s="254"/>
      <c r="M45" s="254"/>
      <c r="N45" s="254"/>
      <c r="O45" s="254"/>
      <c r="P45" s="254"/>
      <c r="Q45" s="254"/>
      <c r="R45">
        <v>42</v>
      </c>
      <c r="S45">
        <f>IF(OR(T45=V45,T45=W45,T45=X45,T45=Y45),"0",MAX(S4:S44)+1)</f>
        <v>42</v>
      </c>
      <c r="T45" t="s">
        <v>199</v>
      </c>
      <c r="U45" t="str">
        <f t="shared" si="1"/>
        <v>2121R</v>
      </c>
      <c r="V45" t="str">
        <f>IF(ISNA(VLOOKUP(T45,Gruppengliederung!$C$13:$D$47,1,FALSE)),"",VLOOKUP(T45,Gruppengliederung!$C$13:$D$47,1,FALSE))</f>
        <v/>
      </c>
      <c r="W45" t="str">
        <f>IF(ISNA(VLOOKUP(T45,Gruppengliederung!$D$12:$D$47,1,FALSE)),"",VLOOKUP(T45,Gruppengliederung!$D$12:$D$47,1,FALSE))</f>
        <v/>
      </c>
      <c r="X45" t="str">
        <f>IF(ISNA(VLOOKUP(T45,Gruppengliederung!$F$12:$F$47,1,FALSE)),"",VLOOKUP(T45,Gruppengliederung!$F$12:$F$47,1,FALSE))</f>
        <v/>
      </c>
      <c r="Y45" t="str">
        <f>IF(ISNA(VLOOKUP(T45,Gruppengliederung!$H$12:$H$47,1,FALSE)),"",VLOOKUP(T45,Gruppengliederung!$H$12:$H$47,1,FALSE))</f>
        <v/>
      </c>
    </row>
    <row r="46" spans="1:25" x14ac:dyDescent="0.25">
      <c r="A46" s="180" t="s">
        <v>146</v>
      </c>
      <c r="B46" s="184">
        <f>SUM(COUNTA(B40:B45))</f>
        <v>0</v>
      </c>
      <c r="C46" s="254"/>
      <c r="D46" s="184">
        <f>SUM(COUNTA(D40:D45))</f>
        <v>0</v>
      </c>
      <c r="E46" s="254"/>
      <c r="F46" s="184">
        <f>SUM(COUNTA(F40:F45))</f>
        <v>0</v>
      </c>
      <c r="G46" s="254"/>
      <c r="H46" s="184">
        <f>SUM(COUNTA(H40:H45))</f>
        <v>0</v>
      </c>
      <c r="I46" s="254"/>
      <c r="J46" s="254"/>
      <c r="K46" s="254"/>
      <c r="L46" s="254"/>
      <c r="M46" s="254"/>
      <c r="N46" s="254"/>
      <c r="O46" s="254"/>
      <c r="P46" s="254"/>
      <c r="Q46" s="254"/>
      <c r="R46">
        <v>43</v>
      </c>
      <c r="S46">
        <f>IF(OR(T46=V46,T46=W46,T46=X46,T46=Y46),"0",MAX(S4:S45)+1)</f>
        <v>43</v>
      </c>
      <c r="T46" t="s">
        <v>200</v>
      </c>
      <c r="U46" t="str">
        <f t="shared" si="1"/>
        <v>2122R</v>
      </c>
      <c r="V46" t="str">
        <f>IF(ISNA(VLOOKUP(T46,Gruppengliederung!$C$13:$D$47,1,FALSE)),"",VLOOKUP(T46,Gruppengliederung!$C$13:$D$47,1,FALSE))</f>
        <v/>
      </c>
      <c r="W46" t="str">
        <f>IF(ISNA(VLOOKUP(T46,Gruppengliederung!$D$12:$D$47,1,FALSE)),"",VLOOKUP(T46,Gruppengliederung!$D$12:$D$47,1,FALSE))</f>
        <v/>
      </c>
      <c r="X46" t="str">
        <f>IF(ISNA(VLOOKUP(T46,Gruppengliederung!$F$12:$F$47,1,FALSE)),"",VLOOKUP(T46,Gruppengliederung!$F$12:$F$47,1,FALSE))</f>
        <v/>
      </c>
      <c r="Y46" t="str">
        <f>IF(ISNA(VLOOKUP(T46,Gruppengliederung!$H$12:$H$47,1,FALSE)),"",VLOOKUP(T46,Gruppengliederung!$H$12:$H$47,1,FALSE))</f>
        <v/>
      </c>
    </row>
    <row r="47" spans="1:25" ht="15" customHeight="1" x14ac:dyDescent="0.25">
      <c r="A47" s="180"/>
      <c r="B47" s="175"/>
      <c r="C47" s="254"/>
      <c r="D47" s="175"/>
      <c r="E47" s="254"/>
      <c r="F47" s="175"/>
      <c r="G47" s="254"/>
      <c r="H47" s="175"/>
      <c r="I47" s="254"/>
      <c r="J47" s="254"/>
      <c r="K47" s="254"/>
      <c r="L47" s="254"/>
      <c r="M47" s="254"/>
      <c r="N47" s="254"/>
      <c r="O47" s="254"/>
      <c r="P47" s="254"/>
      <c r="Q47" s="254"/>
      <c r="R47">
        <v>44</v>
      </c>
      <c r="S47">
        <f>IF(OR(T47=V47,T47=W47,T47=X47,T47=Y47),"0",MAX(S4:S46)+1)</f>
        <v>44</v>
      </c>
      <c r="T47" t="s">
        <v>201</v>
      </c>
      <c r="U47" t="str">
        <f t="shared" si="1"/>
        <v>2123R</v>
      </c>
      <c r="V47" t="str">
        <f>IF(ISNA(VLOOKUP(T47,Gruppengliederung!$C$13:$D$47,1,FALSE)),"",VLOOKUP(T47,Gruppengliederung!$C$13:$D$47,1,FALSE))</f>
        <v/>
      </c>
      <c r="W47" t="str">
        <f>IF(ISNA(VLOOKUP(T47,Gruppengliederung!$D$12:$D$47,1,FALSE)),"",VLOOKUP(T47,Gruppengliederung!$D$12:$D$47,1,FALSE))</f>
        <v/>
      </c>
      <c r="X47" t="str">
        <f>IF(ISNA(VLOOKUP(T47,Gruppengliederung!$F$12:$F$47,1,FALSE)),"",VLOOKUP(T47,Gruppengliederung!$F$12:$F$47,1,FALSE))</f>
        <v/>
      </c>
      <c r="Y47" t="str">
        <f>IF(ISNA(VLOOKUP(T47,Gruppengliederung!$H$12:$H$47,1,FALSE)),"",VLOOKUP(T47,Gruppengliederung!$H$12:$H$47,1,FALSE))</f>
        <v/>
      </c>
    </row>
    <row r="48" spans="1:25" ht="15" customHeight="1" x14ac:dyDescent="0.25">
      <c r="A48" s="180" t="s">
        <v>147</v>
      </c>
      <c r="B48" s="317"/>
      <c r="C48" s="318"/>
      <c r="D48" s="318"/>
      <c r="E48" s="318"/>
      <c r="F48" s="318"/>
      <c r="G48" s="318"/>
      <c r="H48" s="319"/>
      <c r="I48" s="254"/>
      <c r="J48" s="254"/>
      <c r="K48" s="254"/>
      <c r="L48" s="254"/>
      <c r="M48" s="254"/>
      <c r="N48" s="254"/>
      <c r="O48" s="254"/>
      <c r="P48" s="254"/>
      <c r="Q48" s="254"/>
    </row>
    <row r="49" spans="2:8" ht="15" customHeight="1" x14ac:dyDescent="0.25">
      <c r="B49" s="311"/>
      <c r="C49" s="312"/>
      <c r="D49" s="312"/>
      <c r="E49" s="312"/>
      <c r="F49" s="312"/>
      <c r="G49" s="312"/>
      <c r="H49" s="313"/>
    </row>
    <row r="50" spans="2:8" ht="15" customHeight="1" x14ac:dyDescent="0.25">
      <c r="B50" s="311"/>
      <c r="C50" s="312"/>
      <c r="D50" s="312"/>
      <c r="E50" s="312"/>
      <c r="F50" s="312"/>
      <c r="G50" s="312"/>
      <c r="H50" s="313"/>
    </row>
    <row r="51" spans="2:8" ht="15" customHeight="1" x14ac:dyDescent="0.25">
      <c r="B51" s="311"/>
      <c r="C51" s="312"/>
      <c r="D51" s="312"/>
      <c r="E51" s="312"/>
      <c r="F51" s="312"/>
      <c r="G51" s="312"/>
      <c r="H51" s="313"/>
    </row>
    <row r="52" spans="2:8" ht="15" customHeight="1" x14ac:dyDescent="0.25">
      <c r="B52" s="311"/>
      <c r="C52" s="312"/>
      <c r="D52" s="312"/>
      <c r="E52" s="312"/>
      <c r="F52" s="312"/>
      <c r="G52" s="312"/>
      <c r="H52" s="313"/>
    </row>
    <row r="53" spans="2:8" ht="15" customHeight="1" x14ac:dyDescent="0.25">
      <c r="B53" s="311"/>
      <c r="C53" s="312"/>
      <c r="D53" s="312"/>
      <c r="E53" s="312"/>
      <c r="F53" s="312"/>
      <c r="G53" s="312"/>
      <c r="H53" s="313"/>
    </row>
    <row r="54" spans="2:8" ht="15" customHeight="1" x14ac:dyDescent="0.25">
      <c r="B54" s="311"/>
      <c r="C54" s="312"/>
      <c r="D54" s="312"/>
      <c r="E54" s="312"/>
      <c r="F54" s="312"/>
      <c r="G54" s="312"/>
      <c r="H54" s="313"/>
    </row>
    <row r="55" spans="2:8" ht="15" customHeight="1" x14ac:dyDescent="0.25">
      <c r="B55" s="314"/>
      <c r="C55" s="315"/>
      <c r="D55" s="315"/>
      <c r="E55" s="315"/>
      <c r="F55" s="315"/>
      <c r="G55" s="315"/>
      <c r="H55" s="316"/>
    </row>
    <row r="58" spans="2:8" hidden="1" x14ac:dyDescent="0.25">
      <c r="B58" t="s">
        <v>124</v>
      </c>
      <c r="D58" t="s">
        <v>128</v>
      </c>
    </row>
    <row r="59" spans="2:8" hidden="1" x14ac:dyDescent="0.25">
      <c r="B59" t="s">
        <v>125</v>
      </c>
      <c r="D59" t="s">
        <v>129</v>
      </c>
    </row>
    <row r="60" spans="2:8" hidden="1" x14ac:dyDescent="0.25">
      <c r="B60" t="s">
        <v>126</v>
      </c>
      <c r="C60" s="172">
        <v>0</v>
      </c>
      <c r="D60" t="s">
        <v>130</v>
      </c>
    </row>
    <row r="61" spans="2:8" hidden="1" x14ac:dyDescent="0.25">
      <c r="B61" t="s">
        <v>127</v>
      </c>
      <c r="C61" s="172">
        <v>2.0833333333333332E-2</v>
      </c>
      <c r="D61" t="s">
        <v>131</v>
      </c>
    </row>
    <row r="62" spans="2:8" hidden="1" x14ac:dyDescent="0.25">
      <c r="C62" s="172">
        <v>4.1666666666666664E-2</v>
      </c>
      <c r="D62" t="s">
        <v>132</v>
      </c>
    </row>
    <row r="63" spans="2:8" hidden="1" x14ac:dyDescent="0.25">
      <c r="C63" s="172">
        <v>6.25E-2</v>
      </c>
      <c r="D63" t="s">
        <v>133</v>
      </c>
    </row>
    <row r="64" spans="2:8" hidden="1" x14ac:dyDescent="0.25">
      <c r="C64" s="172">
        <v>8.3333333333333329E-2</v>
      </c>
      <c r="D64" t="s">
        <v>134</v>
      </c>
    </row>
    <row r="65" spans="3:3" hidden="1" x14ac:dyDescent="0.25">
      <c r="C65" s="172">
        <v>0.10416666666666667</v>
      </c>
    </row>
    <row r="66" spans="3:3" hidden="1" x14ac:dyDescent="0.25">
      <c r="C66" s="172">
        <v>0.125</v>
      </c>
    </row>
    <row r="67" spans="3:3" hidden="1" x14ac:dyDescent="0.25">
      <c r="C67" s="172">
        <v>0.14583333333333334</v>
      </c>
    </row>
    <row r="68" spans="3:3" hidden="1" x14ac:dyDescent="0.25">
      <c r="C68" s="172">
        <v>0.16666666666666666</v>
      </c>
    </row>
    <row r="69" spans="3:3" hidden="1" x14ac:dyDescent="0.25">
      <c r="C69" s="172">
        <v>0.1875</v>
      </c>
    </row>
    <row r="70" spans="3:3" hidden="1" x14ac:dyDescent="0.25">
      <c r="C70" s="172">
        <v>0.20833333333333334</v>
      </c>
    </row>
    <row r="71" spans="3:3" hidden="1" x14ac:dyDescent="0.25">
      <c r="C71" s="172">
        <v>0.22916666666666666</v>
      </c>
    </row>
    <row r="72" spans="3:3" hidden="1" x14ac:dyDescent="0.25">
      <c r="C72" s="172">
        <v>0.25</v>
      </c>
    </row>
    <row r="73" spans="3:3" hidden="1" x14ac:dyDescent="0.25">
      <c r="C73" s="172">
        <v>0.27083333333333331</v>
      </c>
    </row>
    <row r="74" spans="3:3" hidden="1" x14ac:dyDescent="0.25">
      <c r="C74" s="172">
        <v>0.29166666666666669</v>
      </c>
    </row>
    <row r="75" spans="3:3" hidden="1" x14ac:dyDescent="0.25">
      <c r="C75" s="172">
        <v>0.3125</v>
      </c>
    </row>
    <row r="76" spans="3:3" hidden="1" x14ac:dyDescent="0.25">
      <c r="C76" s="172">
        <v>0.33333333333333331</v>
      </c>
    </row>
    <row r="77" spans="3:3" hidden="1" x14ac:dyDescent="0.25">
      <c r="C77" s="172">
        <v>0.35416666666666669</v>
      </c>
    </row>
    <row r="78" spans="3:3" hidden="1" x14ac:dyDescent="0.25">
      <c r="C78" s="172">
        <v>0.375</v>
      </c>
    </row>
    <row r="79" spans="3:3" hidden="1" x14ac:dyDescent="0.25">
      <c r="C79" s="172">
        <v>0.39583333333333331</v>
      </c>
    </row>
    <row r="80" spans="3:3" hidden="1" x14ac:dyDescent="0.25">
      <c r="C80" s="172">
        <v>0.41666666666666669</v>
      </c>
    </row>
    <row r="81" spans="3:3" hidden="1" x14ac:dyDescent="0.25">
      <c r="C81" s="172">
        <v>0.4375</v>
      </c>
    </row>
    <row r="82" spans="3:3" hidden="1" x14ac:dyDescent="0.25">
      <c r="C82" s="172">
        <v>0.45833333333333331</v>
      </c>
    </row>
    <row r="83" spans="3:3" hidden="1" x14ac:dyDescent="0.25">
      <c r="C83" s="172">
        <v>0.47916666666666669</v>
      </c>
    </row>
    <row r="84" spans="3:3" hidden="1" x14ac:dyDescent="0.25">
      <c r="C84" s="172">
        <v>0.5</v>
      </c>
    </row>
    <row r="85" spans="3:3" hidden="1" x14ac:dyDescent="0.25">
      <c r="C85" s="172">
        <v>0.52083333333333337</v>
      </c>
    </row>
    <row r="86" spans="3:3" hidden="1" x14ac:dyDescent="0.25">
      <c r="C86" s="172">
        <v>0.54166666666666663</v>
      </c>
    </row>
    <row r="87" spans="3:3" hidden="1" x14ac:dyDescent="0.25">
      <c r="C87" s="172">
        <v>0.5625</v>
      </c>
    </row>
    <row r="88" spans="3:3" hidden="1" x14ac:dyDescent="0.25">
      <c r="C88" s="172">
        <v>0.58333333333333337</v>
      </c>
    </row>
    <row r="89" spans="3:3" hidden="1" x14ac:dyDescent="0.25">
      <c r="C89" s="172">
        <v>0.60416666666666663</v>
      </c>
    </row>
    <row r="90" spans="3:3" hidden="1" x14ac:dyDescent="0.25">
      <c r="C90" s="172">
        <v>0.625</v>
      </c>
    </row>
    <row r="91" spans="3:3" hidden="1" x14ac:dyDescent="0.25">
      <c r="C91" s="172">
        <v>0.64583333333333337</v>
      </c>
    </row>
    <row r="92" spans="3:3" hidden="1" x14ac:dyDescent="0.25">
      <c r="C92" s="172">
        <v>0.66666666666666663</v>
      </c>
    </row>
    <row r="93" spans="3:3" hidden="1" x14ac:dyDescent="0.25">
      <c r="C93" s="172">
        <v>0.6875</v>
      </c>
    </row>
    <row r="94" spans="3:3" hidden="1" x14ac:dyDescent="0.25">
      <c r="C94" s="172">
        <v>0.70833333333333337</v>
      </c>
    </row>
    <row r="95" spans="3:3" hidden="1" x14ac:dyDescent="0.25">
      <c r="C95" s="172">
        <v>0.72916666666666663</v>
      </c>
    </row>
    <row r="96" spans="3:3" hidden="1" x14ac:dyDescent="0.25">
      <c r="C96" s="172">
        <v>0.75</v>
      </c>
    </row>
    <row r="97" spans="3:3" hidden="1" x14ac:dyDescent="0.25">
      <c r="C97" s="172">
        <v>0.77083333333333337</v>
      </c>
    </row>
    <row r="98" spans="3:3" hidden="1" x14ac:dyDescent="0.25">
      <c r="C98" s="172">
        <v>0.79166666666666663</v>
      </c>
    </row>
    <row r="99" spans="3:3" hidden="1" x14ac:dyDescent="0.25">
      <c r="C99" s="172">
        <v>0.8125</v>
      </c>
    </row>
    <row r="100" spans="3:3" hidden="1" x14ac:dyDescent="0.25">
      <c r="C100" s="172">
        <v>0.83333333333333337</v>
      </c>
    </row>
    <row r="101" spans="3:3" hidden="1" x14ac:dyDescent="0.25">
      <c r="C101" s="172">
        <v>0.85416666666666663</v>
      </c>
    </row>
    <row r="102" spans="3:3" hidden="1" x14ac:dyDescent="0.25">
      <c r="C102" s="172">
        <v>0.875</v>
      </c>
    </row>
    <row r="103" spans="3:3" hidden="1" x14ac:dyDescent="0.25">
      <c r="C103" s="172">
        <v>0.89583333333333337</v>
      </c>
    </row>
    <row r="104" spans="3:3" hidden="1" x14ac:dyDescent="0.25">
      <c r="C104" s="172">
        <v>0.91666666666666663</v>
      </c>
    </row>
    <row r="105" spans="3:3" hidden="1" x14ac:dyDescent="0.25">
      <c r="C105" s="172">
        <v>0.9375</v>
      </c>
    </row>
    <row r="106" spans="3:3" hidden="1" x14ac:dyDescent="0.25">
      <c r="C106" s="172">
        <v>0.95833333333333337</v>
      </c>
    </row>
    <row r="107" spans="3:3" hidden="1" x14ac:dyDescent="0.25">
      <c r="C107" s="172">
        <v>0.97916666666666663</v>
      </c>
    </row>
  </sheetData>
  <sheetProtection algorithmName="SHA-512" hashValue="Rge5r+YCaukiZT6091gk54FHfhck5auDdjCNuVJSXq5HerkPP0vFEyI4al7eOB+t8hOYYT4h5LVujWu3yFKNOA==" saltValue="CO0v1F3Nnqp4wod959M3tA==" spinCount="100000" sheet="1" objects="1" scenarios="1" selectLockedCells="1"/>
  <mergeCells count="14">
    <mergeCell ref="C9:F9"/>
    <mergeCell ref="B3:D3"/>
    <mergeCell ref="C5:D5"/>
    <mergeCell ref="C6:D6"/>
    <mergeCell ref="C7:D7"/>
    <mergeCell ref="C8:F8"/>
    <mergeCell ref="B54:H54"/>
    <mergeCell ref="B55:H55"/>
    <mergeCell ref="B48:H48"/>
    <mergeCell ref="B49:H49"/>
    <mergeCell ref="B50:H50"/>
    <mergeCell ref="B51:H51"/>
    <mergeCell ref="B52:H52"/>
    <mergeCell ref="B53:H53"/>
  </mergeCells>
  <dataValidations count="6">
    <dataValidation type="list" allowBlank="1" showInputMessage="1" showErrorMessage="1" sqref="F3" xr:uid="{00000000-0002-0000-0500-000000000000}">
      <formula1>_Phasen</formula1>
    </dataValidation>
    <dataValidation type="list" operator="equal" allowBlank="1" showInputMessage="1" showErrorMessage="1" sqref="C5:D5" xr:uid="{00000000-0002-0000-0500-000001000000}">
      <formula1>_Dienstbeginn</formula1>
    </dataValidation>
    <dataValidation type="list" operator="equal" allowBlank="1" showInputMessage="1" showErrorMessage="1" sqref="C6:D6" xr:uid="{00000000-0002-0000-0500-000002000000}">
      <formula1>_Dienstanzug</formula1>
    </dataValidation>
    <dataValidation type="list" allowBlank="1" showInputMessage="1" showErrorMessage="1" sqref="A22:A25" xr:uid="{00000000-0002-0000-0500-000003000000}">
      <formula1>_Funktion</formula1>
    </dataValidation>
    <dataValidation type="list" operator="equal" allowBlank="1" showInputMessage="1" showErrorMessage="1" sqref="C13:C25 E13:E25 G13:G25 I13:I25 C30:C35 C40:C45 E30:E35 E40:E45 G30:G35 G40:G45 I30:I35 I40:I45" xr:uid="{00000000-0002-0000-0500-000004000000}">
      <formula1>_rückenkennung</formula1>
    </dataValidation>
    <dataValidation type="list" operator="equal" allowBlank="1" showInputMessage="1" showErrorMessage="1" sqref="B13:B25 B30:B35 B40:B45 D13:D25 D30:D35 D40:D45 F13:F25 F30:F35 F40:F45 H13:H25 H30:H35 H40:H45" xr:uid="{00000000-0002-0000-0500-000005000000}">
      <formula1>_verfügbar</formula1>
    </dataValidation>
  </dataValidations>
  <pageMargins left="0.7" right="0.7" top="0.78740157499999996" bottom="0.78740157499999996" header="0.3" footer="0.3"/>
  <pageSetup paperSize="9" orientation="portrait" r:id="rId1"/>
  <rowBreaks count="1" manualBreakCount="1">
    <brk id="55" max="16383" man="1"/>
  </rowBreaks>
  <colBreaks count="1" manualBreakCount="1">
    <brk id="9" max="1048575" man="1"/>
  </colBreaks>
</worksheet>
</file>

<file path=customUI/customUI.xml><?xml version="1.0" encoding="utf-8"?>
<customUI xmlns="http://schemas.microsoft.com/office/2006/01/customui">
  <ribbon>
    <tabs>
      <tab id="TabDPL" label="Dienst" insertBeforeMso="TabHome">
        <group id="Quartal" label="Register">
          <button id="HB1" onAction="M_home" label="Startseite" imageMso="OpenStartPage" size="large"/>
          <separator id="QS1"/>
          <splitButton id="QSB1" size="large">
            <button id="QB1" label="Quartal" imageMso="PlanAMeeting"/>
            <menu id="QB2" itemSize="large">
              <button id="QB3" onAction="M_quartal1" label="1. Quartal" imageMso="TaskMoveForwardFourWeeks"/>
              <button id="QB4" onAction="M_quartal2" label="2. Quartal" imageMso="TaskMoveForwardFourWeeks"/>
              <button id="QB5" onAction="M_quartal3" label="3. Quartal" imageMso="TaskMoveForwardFourWeeks"/>
              <button id="QB6" onAction="M_quartal4" label="4. Quartal" imageMso="TaskMoveForwardFourWeeks"/>
            </menu>
          </splitButton>
          <button id="DPL2B1" onAction="M_gruppengliederung" label="Gruppengl." imageMso="PivotTableBlankRowsRemove" size="large"/>
          <button id="DPL2B10" onAction="M_dienstplan" label="Dienstplan" imageMso="DefinedPrintStyle" size="large"/>
          <separator id="QS2"/>
          <button id="DPL2B30" onAction="M_vorausstärke_berechnen" label="Vorausstärke" imageMso="ExportLotus" size="large"/>
        </group>
        <group id="Dienstausübung" label="Dienstausübung">
          <button id="DPLDB16" onAction="M_DPL_Dst" label="Dst" imageMso="AppointmentColor0" size="normal"/>
          <button id="DPLDB20" onAction="M_DPL_Tr" label="Tr" imageMso="AppointmentColor4" size="normal"/>
          <button id="DPLDB17" onAction="M_DPL_leer" label="leer" imageMso="AppointmentColor0" size="normal"/>
          <button id="DPLDB10" onAction="M_DPL_U" label="U" imageMso="AppointmentColor3" size="normal"/>
          <button id="DPLDB19" onAction="M_DPL_12a" label="12a" imageMso="AppointmentColor3" size="normal"/>
          <button id="DPLDB12" onAction="M_DPL_DA" label="DA" imageMso="AppointmentColor9" size="normal"/>
          <button id="DPLDB18" onAction="M_DPL_S" label="S" imageMso="AppointmentColor10" size="normal"/>
          <button id="DPLDB14" onAction="M_DPL_ADV" label="ADV" imageMso="AppointmentColor5" size="normal"/>
          <button id="DPLDB13" onAction="M_DPL_Fb" label="Fb" imageMso="AppointmentColor5" size="normal"/>
          <button id="DPLDB15" onAction="M_DPL_Kr" label="Kr" imageMso="AppointmentColor1" size="normal"/>
        </group>
        <group id="Kommentar" label="Kommentar">
          <button id="DPLB30" onAction="M_kommentar_hinzufügen" label="Kommentar hinzufügen" imageMso="ReviewNewComment" size="large"/>
          <button id="DPLB31" onAction="M_kommentar_löschen" label="Kommentar löschen" imageMso="ReviewDeleteComment" size="large"/>
        </group>
        <group id="Einstellungen" label="Einstellungen">
          <button id="AdminB1" onAction="M_auswahlfenster" label="Personenauswahl" imageMso="GroupInvite" size="large"/>
          <button id="AdminB2" onAction="M_einstellungen" label="Einstellungen" imageMso="GroupContTypeManage" size="large"/>
        </group>
        <group id="DPL" label="Datenbank">
          <button id="DPLB1" onAction="M_db_datensicherung" label="Datensicherung" imageMso="DatabaseCopyDatabaseFile" size="large"/>
          <separator id="DPLS1"/>
          <button id="DPLB2" onAction="M_db_komprimierung" label="Komprimierung" imageMso="GroupListWorkflowsNew" size="large"/>
        </group>
      </tab>
    </tabs>
  </ribbon>
</customUI>
</file>

<file path=customUI/customUI14.xml><?xml version="1.0" encoding="utf-8"?>
<customUI xmlns="http://schemas.microsoft.com/office/2006/01/customui">
  <ribbon>
    <tabs>
      <tab id="TabDPL" label="Dienst" insertBeforeMso="TabHome">
        <group id="Quartal" label="Register">
          <button id="HB1" onAction="M_home" label="Startseite" imageMso="OpenStartPage" size="large"/>
          <separator id="QS1"/>
          <splitButton id="QSB1" size="large">
            <button id="QB1" label="Quartal" imageMso="PlanAMeeting"/>
            <menu id="QB2" itemSize="large">
              <button id="QB3" onAction="M_quartal1" label="1. Quartal" imageMso="TaskMoveForwardFourWeeks"/>
              <button id="QB4" onAction="M_quartal2" label="2. Quartal" imageMso="TaskMoveForwardFourWeeks"/>
              <button id="QB5" onAction="M_quartal3" label="3. Quartal" imageMso="TaskMoveForwardFourWeeks"/>
              <button id="QB6" onAction="M_quartal4" label="4. Quartal" imageMso="TaskMoveForwardFourWeeks"/>
            </menu>
          </splitButton>
          <button id="DPL2B1" onAction="M_gruppengliederung" label="Gruppengl." imageMso="PivotTableBlankRowsRemove" size="large"/>
          <button id="DPL2B10" onAction="M_dienstplan" label="Dienstplan" imageMso="DefinedPrintStyle" size="large"/>
          <separator id="QS2"/>
          <button id="DPL2B30" onAction="M_vorausstärke_berechnen" label="Vorausstärke" imageMso="ExportLotus" size="large"/>
        </group>
        <group id="Dienstausübung" label="Dienstausübung">
          <button id="DPLDB16" onAction="M_DPL_Dst" label="Dst" imageMso="AppointmentColor0" size="normal"/>
          <button id="DPLDB20" onAction="M_DPL_Tr" label="Tr" imageMso="AppointmentColor4" size="normal"/>
          <button id="DPLDB17" onAction="M_DPL_leer" label="leer" imageMso="AppointmentColor0" size="normal"/>
          <button id="DPLDB10" onAction="M_DPL_U" label="U" imageMso="AppointmentColor3" size="normal"/>
          <button id="DPLDB19" onAction="M_DPL_12a" label="12a" imageMso="AppointmentColor3" size="normal"/>
          <button id="DPLDB12" onAction="M_DPL_DA" label="DA" imageMso="AppointmentColor9" size="normal"/>
          <button id="DPLDB18" onAction="M_DPL_S" label="S" imageMso="AppointmentColor10" size="normal"/>
          <button id="DPLDB14" onAction="M_DPL_ADV" label="ADV" imageMso="AppointmentColor5" size="normal"/>
          <button id="DPLDB13" onAction="M_DPL_Fb" label="Fb" imageMso="AppointmentColor5" size="normal"/>
          <button id="DPLDB15" onAction="M_DPL_Kr" label="Kr" imageMso="AppointmentColor1" size="normal"/>
        </group>
        <group id="Kommentar" label="Kommentar">
          <button id="DPLB30" onAction="M_kommentar_hinzufügen" label="Kommentar hinzufügen" imageMso="ReviewNewComment" size="large"/>
          <button id="DPLB31" onAction="M_kommentar_löschen" label="Kommentar löschen" imageMso="ReviewDeleteComment" size="large"/>
        </group>
        <group id="Einstellungen" label="Einstellungen">
          <button id="AdminB1" onAction="M_auswahlfenster" label="Personenauswahl" imageMso="GroupInvite" size="large"/>
          <button id="AdminB2" onAction="M_einstellungen" label="Einstellungen" imageMso="GroupContTypeManage" size="large"/>
        </group>
        <group id="DPL" label="Datenbank">
          <button id="DPLB1" onAction="M_db_datensicherung" label="Datensicherung" imageMso="DatabaseCopyDatabaseFile" size="large"/>
          <separator id="DPLS1"/>
          <button id="DPLB2" onAction="M_db_komprimierung" label="Komprimierung" imageMso="GroupListWorkflowsNew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10</vt:i4>
      </vt:variant>
    </vt:vector>
  </HeadingPairs>
  <TitlesOfParts>
    <vt:vector size="16" baseType="lpstr">
      <vt:lpstr>Info</vt:lpstr>
      <vt:lpstr>Dienst</vt:lpstr>
      <vt:lpstr>Dienstplan</vt:lpstr>
      <vt:lpstr>Phasenmodell</vt:lpstr>
      <vt:lpstr>Vorausstärke</vt:lpstr>
      <vt:lpstr>Gruppengliederung</vt:lpstr>
      <vt:lpstr>_Dienstanzug</vt:lpstr>
      <vt:lpstr>_Dienstbeginn</vt:lpstr>
      <vt:lpstr>_Funktion</vt:lpstr>
      <vt:lpstr>_Phasen</vt:lpstr>
      <vt:lpstr>_rückenkennung</vt:lpstr>
      <vt:lpstr>_verfügbar</vt:lpstr>
      <vt:lpstr>Dienst!Druckbereich</vt:lpstr>
      <vt:lpstr>Phasenmodell!Druckbereich</vt:lpstr>
      <vt:lpstr>nm_Dienstplan</vt:lpstr>
      <vt:lpstr>nm_Dienststellenplan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 Huschenhöfer</dc:creator>
  <cp:lastModifiedBy>Chris Hu</cp:lastModifiedBy>
  <cp:lastPrinted>2017-05-28T10:27:38Z</cp:lastPrinted>
  <dcterms:created xsi:type="dcterms:W3CDTF">2014-05-08T13:04:00Z</dcterms:created>
  <dcterms:modified xsi:type="dcterms:W3CDTF">2018-06-20T16:39:00Z</dcterms:modified>
</cp:coreProperties>
</file>